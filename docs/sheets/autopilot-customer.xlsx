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usiness details" sheetId="2" state="visible" r:id="rId2"/>
    <sheet name="Directories" sheetId="3" state="visible" r:id="rId3"/>
    <sheet name="Listing check" sheetId="4" state="visible" r:id="rId4"/>
    <sheet name="Website check" sheetId="5" state="visible" r:id="rId5"/>
    <sheet name="Posts" sheetId="6" state="visible" r:id="rId6"/>
    <sheet name="Reviews" sheetId="7" state="visible" r:id="rId7"/>
    <sheet name="Numbers" sheetId="8" state="visible" r:id="rId8"/>
    <sheet name="Report" sheetId="9" state="visible" r:id="rId9"/>
    <sheet name="Calls" sheetId="10" state="visible" r:id="rId10"/>
  </sheets>
  <definedNames>
    <definedName name="_xlnm.Print_Area" localSheetId="8">'Report'!$A$1:$D$22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yyyy"/>
    <numFmt numFmtId="166" formatCode="0.0"/>
    <numFmt numFmtId="167" formatCode="+0;-0;0"/>
    <numFmt numFmtId="168" formatCode="+0.0;-0.0;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" fontId="0" fillId="4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</font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FollowThrough: Visibility Autopilot customer workbook</t>
        </is>
      </c>
    </row>
    <row r="2">
      <c r="A2" s="2" t="inlineStr"/>
    </row>
    <row r="3">
      <c r="A3" s="2" t="inlineStr">
        <is>
          <t>Keep this file blank. For each new customer: File &gt; Make a copy, name it "Autopilot - [business name]", and put its link in the customer list (orders-and-customers, Autopilot customers tab).</t>
        </is>
      </c>
    </row>
    <row r="4">
      <c r="A4" s="2" t="inlineStr">
        <is>
          <t>The whole customer journey, with the emails to send, is in docs/15-customer-journeys.md. What each plan includes is in docs/01-business-plan.md.</t>
        </is>
      </c>
    </row>
    <row r="5">
      <c r="A5" s="2" t="inlineStr"/>
    </row>
    <row r="6">
      <c r="A6" s="2" t="inlineStr">
        <is>
          <t>Business details: fill in once, from the customer's welcome email reply. Every listing is copied from here, so they all match exactly. Pick the trade first.</t>
        </is>
      </c>
    </row>
    <row r="7">
      <c r="A7" s="2" t="inlineStr">
        <is>
          <t>Directories: the list of directories, with the core list for each trade marked Yes. The same for every customer; change it only in the blank copy.</t>
        </is>
      </c>
    </row>
    <row r="8">
      <c r="A8" s="2" t="inlineStr">
        <is>
          <t>Listing check (all plans): one row per directory. 'Core' fills in by itself from the trade. Core rows: check every month. The others: in the first month, then every 3 months.</t>
        </is>
      </c>
    </row>
    <row r="9">
      <c r="A9" s="2" t="inlineStr">
        <is>
          <t xml:space="preserve">  Growth and Done-for-you: set up or correct every core listing in the first month. Logins go in your password manager, never in this sheet.</t>
        </is>
      </c>
    </row>
    <row r="10">
      <c r="A10" s="2" t="inlineStr">
        <is>
          <t>Website check (all plans): one row per problem found. Each month, send the customer the top 5 open ones (Starter) or fix them (Done-for-you).</t>
        </is>
      </c>
    </row>
    <row r="11">
      <c r="A11" s="2" t="inlineStr">
        <is>
          <t xml:space="preserve">  Each month check, on a phone: speed (pagespeed.web.dev, mobile), Search Console problems, tappable phone number at the top, services and area clear, quote form works, reviews shown, license and insurance mentioned where the state requires it.</t>
        </is>
      </c>
    </row>
    <row r="12">
      <c r="A12" s="2" t="inlineStr">
        <is>
          <t>Posts (Growth and Done-for-you): one row per weekly Google post. Write a month at a time.</t>
        </is>
      </c>
    </row>
    <row r="13">
      <c r="A13" s="2" t="inlineStr">
        <is>
          <t>Reviews (Growth and Done-for-you): one row per new review. 'Ask owner first' says Yes for 1 or 2 stars. The date turns yellow when a review has waited 2 working days.</t>
        </is>
      </c>
    </row>
    <row r="14">
      <c r="A14" s="2" t="inlineStr">
        <is>
          <t>Numbers: one row per month, filled in when you write the report. Type the first month as 2026-11-01; the next months fill in. The grey columns count by themselves.</t>
        </is>
      </c>
    </row>
    <row r="15">
      <c r="A15" s="2" t="inlineStr">
        <is>
          <t>Report: type the month (e.g. 2026-11-01) in the yellow cell. It compares the month with the one before. Write the three notes, then File &gt; Download &gt; PDF, or copy it into the email.</t>
        </is>
      </c>
    </row>
    <row r="16">
      <c r="A16" s="2" t="inlineStr">
        <is>
          <t>Calls (Done-for-you): one row per monthly call on Zoom or Google Meet.</t>
        </is>
      </c>
    </row>
    <row r="17">
      <c r="A17" s="2" t="inlineStr"/>
    </row>
    <row r="18">
      <c r="A18" s="2" t="inlineStr">
        <is>
          <t>Dates: type them as 2026-11-03. Dropdown cells show a small arrow when you click them. Real customer details stay in Google Sheets and never go into the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70" customWidth="1" min="3" max="3"/>
  </cols>
  <sheetData>
    <row r="1" ht="24" customHeight="1">
      <c r="A1" s="3" t="inlineStr">
        <is>
          <t>Field</t>
        </is>
      </c>
      <c r="B1" s="3" t="inlineStr">
        <is>
          <t>Value</t>
        </is>
      </c>
      <c r="C1" s="3" t="inlineStr">
        <is>
          <t>Example or note</t>
        </is>
      </c>
    </row>
    <row r="2">
      <c r="A2" s="4" t="inlineStr">
        <is>
          <t>Business name</t>
        </is>
      </c>
      <c r="B2" s="5" t="n"/>
      <c r="C2" s="6" t="inlineStr">
        <is>
          <t>Exactly as registered and on their signs, e.g. Acme Roofing LLC or Acme Roofing</t>
        </is>
      </c>
    </row>
    <row r="3">
      <c r="A3" s="4" t="inlineStr">
        <is>
          <t>Plan</t>
        </is>
      </c>
      <c r="B3" s="5" t="n"/>
      <c r="C3" s="6" t="inlineStr">
        <is>
          <t>Starter, Growth or Done-for-you</t>
        </is>
      </c>
    </row>
    <row r="4">
      <c r="A4" s="4" t="inlineStr">
        <is>
          <t>Trade</t>
        </is>
      </c>
      <c r="B4" s="5" t="n"/>
      <c r="C4" s="6" t="inlineStr">
        <is>
          <t>Pick from the list: it marks the core directories</t>
        </is>
      </c>
    </row>
    <row r="5">
      <c r="A5" s="4" t="inlineStr">
        <is>
          <t>Owner's name</t>
        </is>
      </c>
      <c r="B5" s="5" t="n"/>
      <c r="C5" s="6" t="inlineStr"/>
    </row>
    <row r="6">
      <c r="A6" s="4" t="inlineStr">
        <is>
          <t>Phone (the one customers call)</t>
        </is>
      </c>
      <c r="B6" s="5" t="n"/>
      <c r="C6" s="6" t="inlineStr">
        <is>
          <t>e.g. (512) 555-0134. The same number everywhere</t>
        </is>
      </c>
    </row>
    <row r="7">
      <c r="A7" s="4" t="inlineStr">
        <is>
          <t>Email (public)</t>
        </is>
      </c>
      <c r="B7" s="5" t="n"/>
      <c r="C7" s="6" t="inlineStr"/>
    </row>
    <row r="8">
      <c r="A8" s="4" t="inlineStr">
        <is>
          <t>Website</t>
        </is>
      </c>
      <c r="B8" s="5" t="n"/>
      <c r="C8" s="6" t="inlineStr">
        <is>
          <t>e.g. https://acmeroofing.com</t>
        </is>
      </c>
    </row>
    <row r="9">
      <c r="A9" s="4" t="inlineStr">
        <is>
          <t>Street address</t>
        </is>
      </c>
      <c r="B9" s="5" t="n"/>
      <c r="C9" s="6" t="inlineStr">
        <is>
          <t>Leave public listings without it if they work from home</t>
        </is>
      </c>
    </row>
    <row r="10">
      <c r="A10" s="4" t="inlineStr">
        <is>
          <t>Show the address publicly?</t>
        </is>
      </c>
      <c r="B10" s="5" t="n"/>
      <c r="C10" s="6" t="inlineStr">
        <is>
          <t>No = service-area business: listings show the area, not the address</t>
        </is>
      </c>
    </row>
    <row r="11">
      <c r="A11" s="4" t="inlineStr">
        <is>
          <t>City</t>
        </is>
      </c>
      <c r="B11" s="5" t="n"/>
      <c r="C11" s="6" t="inlineStr"/>
    </row>
    <row r="12">
      <c r="A12" s="4" t="inlineStr">
        <is>
          <t>State</t>
        </is>
      </c>
      <c r="B12" s="5" t="n"/>
      <c r="C12" s="6" t="inlineStr">
        <is>
          <t>e.g. TX</t>
        </is>
      </c>
    </row>
    <row r="13">
      <c r="A13" s="4" t="inlineStr">
        <is>
          <t>ZIP code</t>
        </is>
      </c>
      <c r="B13" s="5" t="n"/>
      <c r="C13" s="6" t="inlineStr"/>
    </row>
    <row r="14">
      <c r="A14" s="4" t="inlineStr">
        <is>
          <t>Service area</t>
        </is>
      </c>
      <c r="B14" s="5" t="n"/>
      <c r="C14" s="6" t="inlineStr">
        <is>
          <t>Towns or ZIP codes, e.g. Austin, Round Rock, Cedar Park</t>
        </is>
      </c>
    </row>
    <row r="15">
      <c r="A15" s="4" t="inlineStr">
        <is>
          <t>Hours</t>
        </is>
      </c>
      <c r="B15" s="5" t="n"/>
      <c r="C15" s="6" t="inlineStr">
        <is>
          <t>e.g. Mon-Fri 7am-6pm, Sat 8am-12pm, Sun closed</t>
        </is>
      </c>
    </row>
    <row r="16">
      <c r="A16" s="4" t="inlineStr">
        <is>
          <t>Services</t>
        </is>
      </c>
      <c r="B16" s="5" t="n"/>
      <c r="C16" s="6" t="inlineStr">
        <is>
          <t>The main ones, e.g. roof repair, roof replacement, gutter repair</t>
        </is>
      </c>
    </row>
    <row r="17">
      <c r="A17" s="4" t="inlineStr">
        <is>
          <t>Short description (up to 250 characters)</t>
        </is>
      </c>
      <c r="B17" s="5" t="n"/>
      <c r="C17" s="6" t="inlineStr">
        <is>
          <t>For small directories</t>
        </is>
      </c>
    </row>
    <row r="18">
      <c r="A18" s="4" t="inlineStr">
        <is>
          <t>Long description (up to 750 characters)</t>
        </is>
      </c>
      <c r="B18" s="5" t="n"/>
      <c r="C18" s="6" t="inlineStr">
        <is>
          <t>For Google, Bing and Yelp. No prices, no links, no claims they can't back up</t>
        </is>
      </c>
    </row>
    <row r="19">
      <c r="A19" s="4" t="inlineStr">
        <is>
          <t>License numbers</t>
        </is>
      </c>
      <c r="B19" s="5" t="n"/>
      <c r="C19" s="6" t="inlineStr">
        <is>
          <t>Where the state requires showing them</t>
        </is>
      </c>
    </row>
    <row r="20">
      <c r="A20" s="4" t="inlineStr">
        <is>
          <t>Year started</t>
        </is>
      </c>
      <c r="B20" s="5" t="n"/>
      <c r="C20" s="6" t="inlineStr"/>
    </row>
    <row r="21">
      <c r="A21" s="4" t="inlineStr">
        <is>
          <t>Logo (link)</t>
        </is>
      </c>
      <c r="B21" s="5" t="n"/>
      <c r="C21" s="6" t="inlineStr">
        <is>
          <t>A link to the file in Google Drive</t>
        </is>
      </c>
    </row>
    <row r="22">
      <c r="A22" s="4" t="inlineStr">
        <is>
          <t>Photos folder (link)</t>
        </is>
      </c>
      <c r="B22" s="5" t="n"/>
      <c r="C22" s="6" t="inlineStr">
        <is>
          <t>5-10 photos of their work to start, more each week on Growth</t>
        </is>
      </c>
    </row>
    <row r="23">
      <c r="A23" s="4" t="inlineStr">
        <is>
          <t>Google profile link</t>
        </is>
      </c>
      <c r="B23" s="5" t="n"/>
      <c r="C23" s="6" t="inlineStr"/>
    </row>
    <row r="24">
      <c r="A24" s="4" t="inlineStr">
        <is>
          <t>Facebook and Instagram links</t>
        </is>
      </c>
      <c r="B24" s="5" t="n"/>
      <c r="C24" s="6" t="inlineStr"/>
    </row>
    <row r="25">
      <c r="A25" s="4" t="inlineStr">
        <is>
          <t>Number for confirmation codes</t>
        </is>
      </c>
      <c r="B25" s="5" t="n"/>
      <c r="C25" s="6" t="inlineStr">
        <is>
          <t>Where directories' codes go by phone or text, and how fast they can pass them on</t>
        </is>
      </c>
    </row>
    <row r="26">
      <c r="A26" s="4" t="inlineStr">
        <is>
          <t>Website builder or host (Done-for-you)</t>
        </is>
      </c>
      <c r="B26" s="5" t="n"/>
      <c r="C26" s="6" t="inlineStr">
        <is>
          <t>e.g. Wix, Squarespace, WordPress on Bluehost</t>
        </is>
      </c>
    </row>
    <row r="27">
      <c r="A27" s="4" t="inlineStr">
        <is>
          <t>Notes</t>
        </is>
      </c>
      <c r="B27" s="5" t="n"/>
      <c r="C27" s="6" t="inlineStr"/>
    </row>
  </sheetData>
  <dataValidations count="3">
    <dataValidation sqref="B3" showDropDown="0" showInputMessage="0" showErrorMessage="0" allowBlank="1" type="list">
      <formula1>"Starter,Growth,Done-for-you"</formula1>
    </dataValidation>
    <dataValidation sqref="B4" showDropDown="0" showInputMessage="0" showErrorMessage="0" allowBlank="1" type="list">
      <formula1>"HVAC,Plumbing,Roofing,Painting,Handyman,Electrical,Appliance repair,Drywall,Landscaping,Lawn care,Junk removal,Hauling &amp; transportation,House cleaning,Car detailing,Pressure washing"</formula1>
    </dataValidation>
    <dataValidation sqref="B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  <col width="30" customWidth="1" min="4" max="4"/>
    <col width="34" customWidth="1" min="5" max="5"/>
    <col width="22" customWidth="1" min="6" max="6"/>
    <col width="5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48" customHeight="1">
      <c r="A1" s="3" t="inlineStr">
        <is>
          <t>Directory</t>
        </is>
      </c>
      <c r="B1" s="3" t="inlineStr">
        <is>
          <t>Where to add or claim it</t>
        </is>
      </c>
      <c r="C1" s="3" t="inlineStr">
        <is>
          <t>Type</t>
        </is>
      </c>
      <c r="D1" s="3" t="inlineStr">
        <is>
          <t>Free to list?</t>
        </is>
      </c>
      <c r="E1" s="3" t="inlineStr">
        <is>
          <t>How they confirm the business</t>
        </is>
      </c>
      <c r="F1" s="3" t="inlineStr">
        <is>
          <t>Last checked</t>
        </is>
      </c>
      <c r="G1" s="3" t="inlineStr">
        <is>
          <t>Notes</t>
        </is>
      </c>
      <c r="H1" s="3" t="inlineStr">
        <is>
          <t>HVAC</t>
        </is>
      </c>
      <c r="I1" s="3" t="inlineStr">
        <is>
          <t>Plumbing</t>
        </is>
      </c>
      <c r="J1" s="3" t="inlineStr">
        <is>
          <t>Roofing</t>
        </is>
      </c>
      <c r="K1" s="3" t="inlineStr">
        <is>
          <t>Painting</t>
        </is>
      </c>
      <c r="L1" s="3" t="inlineStr">
        <is>
          <t>Handyman</t>
        </is>
      </c>
      <c r="M1" s="3" t="inlineStr">
        <is>
          <t>Electrical</t>
        </is>
      </c>
      <c r="N1" s="3" t="inlineStr">
        <is>
          <t>Appliance repair</t>
        </is>
      </c>
      <c r="O1" s="3" t="inlineStr">
        <is>
          <t>Drywall</t>
        </is>
      </c>
      <c r="P1" s="3" t="inlineStr">
        <is>
          <t>Landscaping</t>
        </is>
      </c>
      <c r="Q1" s="3" t="inlineStr">
        <is>
          <t>Lawn care</t>
        </is>
      </c>
      <c r="R1" s="3" t="inlineStr">
        <is>
          <t>Junk removal</t>
        </is>
      </c>
      <c r="S1" s="3" t="inlineStr">
        <is>
          <t>Hauling &amp; transportation</t>
        </is>
      </c>
      <c r="T1" s="3" t="inlineStr">
        <is>
          <t>House cleaning</t>
        </is>
      </c>
      <c r="U1" s="3" t="inlineStr">
        <is>
          <t>Car detailing</t>
        </is>
      </c>
      <c r="V1" s="3" t="inlineStr">
        <is>
          <t>Pressure washing</t>
        </is>
      </c>
    </row>
    <row r="2">
      <c r="A2" s="6" t="inlineStr">
        <is>
          <t>Google Business Profile</t>
        </is>
      </c>
      <c r="B2" s="6" t="inlineStr">
        <is>
          <t>business.google.com</t>
        </is>
      </c>
      <c r="C2" s="6" t="inlineStr">
        <is>
          <t>Maps and search</t>
        </is>
      </c>
      <c r="D2" s="6" t="inlineStr">
        <is>
          <t>Free</t>
        </is>
      </c>
      <c r="E2" s="6" t="inlineStr">
        <is>
          <t>Video call, phone, text, email or postcard, Google chooses</t>
        </is>
      </c>
      <c r="F2" s="6" t="inlineStr">
        <is>
          <t>Well known</t>
        </is>
      </c>
      <c r="G2" s="6" t="inlineStr">
        <is>
          <t>The most important one. Manager access comes from the owner.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</row>
    <row r="3">
      <c r="A3" s="6" t="inlineStr">
        <is>
          <t>Bing Places</t>
        </is>
      </c>
      <c r="B3" s="6" t="inlineStr">
        <is>
          <t>bingplaces.com</t>
        </is>
      </c>
      <c r="C3" s="6" t="inlineStr">
        <is>
          <t>Maps and search</t>
        </is>
      </c>
      <c r="D3" s="6" t="inlineStr">
        <is>
          <t>Free</t>
        </is>
      </c>
      <c r="E3" s="6" t="inlineStr">
        <is>
          <t>Can import the Google profile; otherwise phone, email or postcard</t>
        </is>
      </c>
      <c r="F3" s="6" t="inlineStr">
        <is>
          <t>Well known</t>
        </is>
      </c>
      <c r="G3" s="6" t="inlineStr">
        <is>
          <t>Importing from Google is quickest once the Google profile is right.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</row>
    <row r="4">
      <c r="A4" s="6" t="inlineStr">
        <is>
          <t>Apple Business Connect</t>
        </is>
      </c>
      <c r="B4" s="6" t="inlineStr">
        <is>
          <t>businessconnect.apple.com</t>
        </is>
      </c>
      <c r="C4" s="6" t="inlineStr">
        <is>
          <t>Maps and search (Apple Maps, Siri)</t>
        </is>
      </c>
      <c r="D4" s="6" t="inlineStr">
        <is>
          <t>Free</t>
        </is>
      </c>
      <c r="E4" s="6" t="inlineStr">
        <is>
          <t>Phone call or business documents</t>
        </is>
      </c>
      <c r="F4" s="6" t="inlineStr">
        <is>
          <t>Well known</t>
        </is>
      </c>
      <c r="G4" s="6" t="inlineStr"/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</row>
    <row r="5">
      <c r="A5" s="6" t="inlineStr">
        <is>
          <t>Yelp</t>
        </is>
      </c>
      <c r="B5" s="6" t="inlineStr">
        <is>
          <t>biz.yelp.com</t>
        </is>
      </c>
      <c r="C5" s="6" t="inlineStr">
        <is>
          <t>Reviews</t>
        </is>
      </c>
      <c r="D5" s="6" t="inlineStr">
        <is>
          <t>Free (ads are paid)</t>
        </is>
      </c>
      <c r="E5" s="6" t="inlineStr">
        <is>
          <t>Phone call or text</t>
        </is>
      </c>
      <c r="F5" s="6" t="inlineStr">
        <is>
          <t>Well known</t>
        </is>
      </c>
      <c r="G5" s="6" t="inlineStr">
        <is>
          <t>Yelp calls to sell ads. The owner can say no.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</row>
    <row r="6">
      <c r="A6" s="6" t="inlineStr">
        <is>
          <t>Facebook page</t>
        </is>
      </c>
      <c r="B6" s="6" t="inlineStr">
        <is>
          <t>facebook.com/pages/create</t>
        </is>
      </c>
      <c r="C6" s="6" t="inlineStr">
        <is>
          <t>Social</t>
        </is>
      </c>
      <c r="D6" s="6" t="inlineStr">
        <is>
          <t>Free</t>
        </is>
      </c>
      <c r="E6" s="6" t="inlineStr">
        <is>
          <t>Usually none</t>
        </is>
      </c>
      <c r="F6" s="6" t="inlineStr">
        <is>
          <t>Well known</t>
        </is>
      </c>
      <c r="G6" s="6" t="inlineStr"/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</row>
    <row r="7">
      <c r="A7" s="6" t="inlineStr">
        <is>
          <t>Nextdoor</t>
        </is>
      </c>
      <c r="B7" s="6" t="inlineStr">
        <is>
          <t>business.nextdoor.com</t>
        </is>
      </c>
      <c r="C7" s="6" t="inlineStr">
        <is>
          <t>Neighborhood network</t>
        </is>
      </c>
      <c r="D7" s="6" t="inlineStr">
        <is>
          <t>Free page</t>
        </is>
      </c>
      <c r="E7" s="6" t="inlineStr">
        <is>
          <t>Phone or email</t>
        </is>
      </c>
      <c r="F7" s="6" t="inlineStr">
        <is>
          <t>2026-10-30, web search</t>
        </is>
      </c>
      <c r="G7" s="6" t="inlineStr">
        <is>
          <t>The page and posts are free. Some users said in 2026 that a few features moved to a paid plan.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</row>
    <row r="8">
      <c r="A8" s="6" t="inlineStr">
        <is>
          <t>BBB</t>
        </is>
      </c>
      <c r="B8" s="6" t="inlineStr">
        <is>
          <t>bbb.org/get-listed</t>
        </is>
      </c>
      <c r="C8" s="6" t="inlineStr">
        <is>
          <t>Reviews and trust</t>
        </is>
      </c>
      <c r="D8" s="6" t="inlineStr">
        <is>
          <t>Free listing (accreditation is paid, optional)</t>
        </is>
      </c>
      <c r="E8" s="6" t="inlineStr">
        <is>
          <t>BBB staff review the request</t>
        </is>
      </c>
      <c r="F8" s="6" t="inlineStr">
        <is>
          <t>Well known</t>
        </is>
      </c>
      <c r="G8" s="6" t="inlineStr">
        <is>
          <t>Don't pay for accreditation for the customer.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</row>
    <row r="9">
      <c r="A9" s="6" t="inlineStr">
        <is>
          <t>Yellow Pages (yp.com)</t>
        </is>
      </c>
      <c r="B9" s="6" t="inlineStr">
        <is>
          <t>yellowpages.com, "Free listing" at the bottom</t>
        </is>
      </c>
      <c r="C9" s="6" t="inlineStr">
        <is>
          <t>General directory</t>
        </is>
      </c>
      <c r="D9" s="6" t="inlineStr">
        <is>
          <t>Free basic listing</t>
        </is>
      </c>
      <c r="E9" s="6" t="inlineStr">
        <is>
          <t>Email or phone</t>
        </is>
      </c>
      <c r="F9" s="6" t="inlineStr">
        <is>
          <t>2026-10-30, web search</t>
        </is>
      </c>
      <c r="G9" s="6" t="inlineStr">
        <is>
          <t>Run by Thryv, which also feeds Superpages. Thryv may call the owner to sell ads: tell them they can say no.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</row>
    <row r="10">
      <c r="A10" s="6" t="inlineStr">
        <is>
          <t>Foursquare</t>
        </is>
      </c>
      <c r="B10" s="6" t="inlineStr">
        <is>
          <t>foursquare.com, "Claim your business"</t>
        </is>
      </c>
      <c r="C10" s="6" t="inlineStr">
        <is>
          <t>Data supplier (feeds other apps and maps)</t>
        </is>
      </c>
      <c r="D10" s="6" t="inlineStr">
        <is>
          <t>Free</t>
        </is>
      </c>
      <c r="E10" s="6" t="inlineStr">
        <is>
          <t>Phone or email</t>
        </is>
      </c>
      <c r="F10" s="6" t="inlineStr">
        <is>
          <t>2026-10-30, web search</t>
        </is>
      </c>
      <c r="G10" s="6" t="inlineStr">
        <is>
          <t>The City Guide app closed in 2024-25, but Foursquare still sends listings to its partners.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</row>
    <row r="11">
      <c r="A11" s="6" t="inlineStr">
        <is>
          <t>Data Axle Local Listings</t>
        </is>
      </c>
      <c r="B11" s="6" t="inlineStr">
        <is>
          <t>data-axle.com/local-listings (formerly Express Update)</t>
        </is>
      </c>
      <c r="C11" s="6" t="inlineStr">
        <is>
          <t>Data supplier (feeds other directories)</t>
        </is>
      </c>
      <c r="D11" s="6" t="inlineStr">
        <is>
          <t>Free</t>
        </is>
      </c>
      <c r="E11" s="6" t="inlineStr">
        <is>
          <t>Their team reviews it. Search first; if not found, use "Contact us"</t>
        </is>
      </c>
      <c r="F11" s="6" t="inlineStr">
        <is>
          <t>2026-10-30, web search</t>
        </is>
      </c>
      <c r="G11" s="6" t="inlineStr">
        <is>
          <t>Slow to approve. Check again a month later.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</row>
    <row r="12">
      <c r="A12" s="6" t="inlineStr">
        <is>
          <t>Angi</t>
        </is>
      </c>
      <c r="B12" s="6" t="inlineStr">
        <is>
          <t>angi.com, "Join as a pro"</t>
        </is>
      </c>
      <c r="C12" s="6" t="inlineStr">
        <is>
          <t>Home services marketplace</t>
        </is>
      </c>
      <c r="D12" s="6" t="inlineStr">
        <is>
          <t>Free profile (leads and ads are paid)</t>
        </is>
      </c>
      <c r="E12" s="6" t="inlineStr">
        <is>
          <t>Phone</t>
        </is>
      </c>
      <c r="F12" s="6" t="inlineStr">
        <is>
          <t>2026-10-30, web search</t>
        </is>
      </c>
      <c r="G12" s="6" t="inlineStr">
        <is>
          <t>HomeAdvisor is part of Angi now. Never buy leads for the customer.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V12" t="inlineStr">
        <is>
          <t>Yes</t>
        </is>
      </c>
    </row>
    <row r="13">
      <c r="A13" s="6" t="inlineStr">
        <is>
          <t>Thumbtack</t>
        </is>
      </c>
      <c r="B13" s="6" t="inlineStr">
        <is>
          <t>thumbtack.com/pro</t>
        </is>
      </c>
      <c r="C13" s="6" t="inlineStr">
        <is>
          <t>Services marketplace</t>
        </is>
      </c>
      <c r="D13" s="6" t="inlineStr">
        <is>
          <t>Free profile (pays per lead)</t>
        </is>
      </c>
      <c r="E13" s="6" t="inlineStr">
        <is>
          <t>Phone or email</t>
        </is>
      </c>
      <c r="F13" s="6" t="inlineStr">
        <is>
          <t>Well known</t>
        </is>
      </c>
      <c r="G13" s="6" t="inlineStr">
        <is>
          <t>Leads cost money: the owner decides whether to turn them on.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</row>
    <row r="14">
      <c r="A14" s="6" t="inlineStr">
        <is>
          <t>Houzz</t>
        </is>
      </c>
      <c r="B14" s="6" t="inlineStr">
        <is>
          <t>houzz.com/pro</t>
        </is>
      </c>
      <c r="C14" s="6" t="inlineStr">
        <is>
          <t>Home projects</t>
        </is>
      </c>
      <c r="D14" s="6" t="inlineStr">
        <is>
          <t>Free profile</t>
        </is>
      </c>
      <c r="E14" s="6" t="inlineStr">
        <is>
          <t>Email</t>
        </is>
      </c>
      <c r="F14" s="6" t="inlineStr">
        <is>
          <t>Well known</t>
        </is>
      </c>
      <c r="G14" s="6" t="inlineStr">
        <is>
          <t>Add photos of finished jobs.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O14" t="inlineStr">
        <is>
          <t>Yes</t>
        </is>
      </c>
      <c r="P14" t="inlineStr">
        <is>
          <t>Yes</t>
        </is>
      </c>
    </row>
    <row r="15">
      <c r="A15" s="6" t="inlineStr">
        <is>
          <t>Porch</t>
        </is>
      </c>
      <c r="B15" s="6" t="inlineStr">
        <is>
          <t>porch.com/pro</t>
        </is>
      </c>
      <c r="C15" s="6" t="inlineStr">
        <is>
          <t>Home services</t>
        </is>
      </c>
      <c r="D15" s="6" t="inlineStr">
        <is>
          <t>Free basic profile</t>
        </is>
      </c>
      <c r="E15" s="6" t="inlineStr">
        <is>
          <t>Email or phone</t>
        </is>
      </c>
      <c r="F15" s="6" t="inlineStr">
        <is>
          <t>2026-10-30, web search (sources older)</t>
        </is>
      </c>
      <c r="G15" s="6" t="inlineStr">
        <is>
          <t>Check the free profile still exists at first use.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T15" t="inlineStr">
        <is>
          <t>Yes</t>
        </is>
      </c>
      <c r="V15" t="inlineStr">
        <is>
          <t>Yes</t>
        </is>
      </c>
    </row>
    <row r="16">
      <c r="A16" s="6" t="inlineStr">
        <is>
          <t>HomeGuide</t>
        </is>
      </c>
      <c r="B16" s="6" t="inlineStr">
        <is>
          <t>homeguide.com/pro</t>
        </is>
      </c>
      <c r="C16" s="6" t="inlineStr">
        <is>
          <t>Home services marketplace</t>
        </is>
      </c>
      <c r="D16" s="6" t="inlineStr">
        <is>
          <t>Free profile (pays per lead)</t>
        </is>
      </c>
      <c r="E16" s="6" t="inlineStr">
        <is>
          <t>Email</t>
        </is>
      </c>
      <c r="F16" s="6" t="inlineStr">
        <is>
          <t>2026-10-30, web search</t>
        </is>
      </c>
      <c r="G16" s="6" t="inlineStr"/>
      <c r="H16" t="inlineStr">
        <is>
          <t>Yes</t>
        </is>
      </c>
      <c r="I16" t="inlineStr">
        <is>
          <t>Yes</t>
        </is>
      </c>
      <c r="K16" t="inlineStr">
        <is>
          <t>Yes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V16" t="inlineStr">
        <is>
          <t>Yes</t>
        </is>
      </c>
    </row>
    <row r="17">
      <c r="A17" s="6" t="inlineStr">
        <is>
          <t>BuildZoom</t>
        </is>
      </c>
      <c r="B17" s="6" t="inlineStr">
        <is>
          <t>buildzoom.com, "Contractor sign up"</t>
        </is>
      </c>
      <c r="C17" s="6" t="inlineStr">
        <is>
          <t>Licensed contractors</t>
        </is>
      </c>
      <c r="D17" s="6" t="inlineStr">
        <is>
          <t>Free to claim (a fee only if hired through them)</t>
        </is>
      </c>
      <c r="E17" s="6" t="inlineStr">
        <is>
          <t>Made from state license records; claim it</t>
        </is>
      </c>
      <c r="F17" s="6" t="inlineStr">
        <is>
          <t>2026-10-30, web search</t>
        </is>
      </c>
      <c r="G17" s="6" t="inlineStr">
        <is>
          <t>Only for licensed trades. The profile exists already if they hold a state license.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M17" t="inlineStr">
        <is>
          <t>Yes</t>
        </is>
      </c>
    </row>
    <row r="18">
      <c r="A18" s="6" t="inlineStr">
        <is>
          <t>Bark</t>
        </is>
      </c>
      <c r="B18" s="6" t="inlineStr">
        <is>
          <t>bark.com, "Join as a professional"</t>
        </is>
      </c>
      <c r="C18" s="6" t="inlineStr">
        <is>
          <t>Services marketplace</t>
        </is>
      </c>
      <c r="D18" s="6" t="inlineStr">
        <is>
          <t>Free to list (pays credits per lead)</t>
        </is>
      </c>
      <c r="E18" s="6" t="inlineStr">
        <is>
          <t>Email or phone</t>
        </is>
      </c>
      <c r="F18" s="6" t="inlineStr">
        <is>
          <t>2026-10-30, web search</t>
        </is>
      </c>
      <c r="G18" s="6" t="inlineStr">
        <is>
          <t>Many leads are poor. The owner decides whether to buy any.</t>
        </is>
      </c>
      <c r="N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</row>
    <row r="19">
      <c r="A19" s="6" t="inlineStr">
        <is>
          <t>uShip</t>
        </is>
      </c>
      <c r="B19" s="6" t="inlineStr">
        <is>
          <t>uship.com, "Become a carrier"</t>
        </is>
      </c>
      <c r="C19" s="6" t="inlineStr">
        <is>
          <t>Hauling marketplace</t>
        </is>
      </c>
      <c r="D19" s="6" t="inlineStr">
        <is>
          <t>Free to join (fee when they win a job)</t>
        </is>
      </c>
      <c r="E19" s="6" t="inlineStr">
        <is>
          <t>Email, then their checks</t>
        </is>
      </c>
      <c r="F19" s="6" t="inlineStr">
        <is>
          <t>2026-10-30, web search</t>
        </is>
      </c>
      <c r="G19" s="6" t="inlineStr"/>
      <c r="S19" t="inlineStr">
        <is>
          <t>Yes</t>
        </is>
      </c>
    </row>
    <row r="20">
      <c r="A20" s="6" t="inlineStr">
        <is>
          <t>Instagram business profile</t>
        </is>
      </c>
      <c r="B20" s="6" t="inlineStr">
        <is>
          <t>instagram.com</t>
        </is>
      </c>
      <c r="C20" s="6" t="inlineStr">
        <is>
          <t>Social</t>
        </is>
      </c>
      <c r="D20" s="6" t="inlineStr">
        <is>
          <t>Free</t>
        </is>
      </c>
      <c r="E20" s="6" t="inlineStr">
        <is>
          <t>None</t>
        </is>
      </c>
      <c r="F20" s="6" t="inlineStr">
        <is>
          <t>Well known</t>
        </is>
      </c>
      <c r="G20" s="6" t="inlineStr">
        <is>
          <t>Before-and-after photos matter most for detailing.</t>
        </is>
      </c>
      <c r="U20" t="inlineStr">
        <is>
          <t>Yes</t>
        </is>
      </c>
    </row>
    <row r="21">
      <c r="A21" s="6" t="inlineStr">
        <is>
          <t>Alignable</t>
        </is>
      </c>
      <c r="B21" s="6" t="inlineStr">
        <is>
          <t>alignable.com</t>
        </is>
      </c>
      <c r="C21" s="6" t="inlineStr">
        <is>
          <t>Local business network</t>
        </is>
      </c>
      <c r="D21" s="6" t="inlineStr">
        <is>
          <t>Free</t>
        </is>
      </c>
      <c r="E21" s="6" t="inlineStr">
        <is>
          <t>Email</t>
        </is>
      </c>
      <c r="F21" s="6" t="inlineStr">
        <is>
          <t>Not checked yet</t>
        </is>
      </c>
      <c r="G21" s="6" t="inlineStr"/>
      <c r="U21" t="inlineStr">
        <is>
          <t>Yes</t>
        </is>
      </c>
    </row>
    <row r="22">
      <c r="A22" s="6" t="inlineStr">
        <is>
          <t>Manta</t>
        </is>
      </c>
      <c r="B22" s="6" t="inlineStr">
        <is>
          <t>manta.com</t>
        </is>
      </c>
      <c r="C22" s="6" t="inlineStr">
        <is>
          <t>General directory</t>
        </is>
      </c>
      <c r="D22" s="6" t="inlineStr">
        <is>
          <t>Free basic listing</t>
        </is>
      </c>
      <c r="E22" s="6" t="inlineStr">
        <is>
          <t>Email or phone</t>
        </is>
      </c>
      <c r="F22" s="6" t="inlineStr">
        <is>
          <t>Not checked yet</t>
        </is>
      </c>
      <c r="G22" s="6" t="inlineStr"/>
      <c r="U22" t="inlineStr">
        <is>
          <t>Yes</t>
        </is>
      </c>
    </row>
    <row r="23">
      <c r="A23" s="6" t="inlineStr">
        <is>
          <t>MapQuest</t>
        </is>
      </c>
      <c r="B23" s="6" t="inlineStr">
        <is>
          <t>mapquest.com</t>
        </is>
      </c>
      <c r="C23" s="6" t="inlineStr">
        <is>
          <t>Maps</t>
        </is>
      </c>
      <c r="D23" s="6" t="inlineStr">
        <is>
          <t>Free basic listing, slow; managing it is paid (Yext)</t>
        </is>
      </c>
      <c r="E23" s="6" t="inlineStr"/>
      <c r="F23" s="6" t="inlineStr">
        <is>
          <t>2026-10-30, web search</t>
        </is>
      </c>
      <c r="G23" s="6" t="inlineStr">
        <is>
          <t>Check only.</t>
        </is>
      </c>
    </row>
    <row r="24">
      <c r="A24" s="6" t="inlineStr">
        <is>
          <t>Waze</t>
        </is>
      </c>
      <c r="B24" s="6" t="inlineStr">
        <is>
          <t>waze.com</t>
        </is>
      </c>
      <c r="C24" s="6" t="inlineStr">
        <is>
          <t>Maps</t>
        </is>
      </c>
      <c r="D24" s="6" t="inlineStr">
        <is>
          <t>Free place edits; ads are paid</t>
        </is>
      </c>
      <c r="E24" s="6" t="inlineStr"/>
      <c r="F24" s="6" t="inlineStr">
        <is>
          <t>Not checked yet</t>
        </is>
      </c>
      <c r="G24" s="6" t="inlineStr">
        <is>
          <t>Check only.</t>
        </is>
      </c>
    </row>
    <row r="25">
      <c r="A25" s="6" t="inlineStr">
        <is>
          <t>Superpages</t>
        </is>
      </c>
      <c r="B25" s="6" t="inlineStr">
        <is>
          <t>superpages.com</t>
        </is>
      </c>
      <c r="C25" s="6" t="inlineStr">
        <is>
          <t>General directory</t>
        </is>
      </c>
      <c r="D25" s="6" t="inlineStr">
        <is>
          <t>Fed by the Yellow Pages listing</t>
        </is>
      </c>
      <c r="E25" s="6" t="inlineStr"/>
      <c r="F25" s="6" t="inlineStr">
        <is>
          <t>Not checked yet</t>
        </is>
      </c>
      <c r="G25" s="6" t="inlineStr">
        <is>
          <t>Check only: fix it through Yellow Pages.</t>
        </is>
      </c>
    </row>
    <row r="26">
      <c r="A26" s="6" t="inlineStr">
        <is>
          <t>Yahoo local results</t>
        </is>
      </c>
      <c r="B26" s="6" t="inlineStr">
        <is>
          <t>search.yahoo.com</t>
        </is>
      </c>
      <c r="C26" s="6" t="inlineStr">
        <is>
          <t>Search</t>
        </is>
      </c>
      <c r="D26" s="6" t="inlineStr">
        <is>
          <t>Shows data from Bing and Yelp</t>
        </is>
      </c>
      <c r="E26" s="6" t="inlineStr"/>
      <c r="F26" s="6" t="inlineStr">
        <is>
          <t>Not checked yet</t>
        </is>
      </c>
      <c r="G26" s="6" t="inlineStr">
        <is>
          <t>Check only: fix it through Bing and Yelp.</t>
        </is>
      </c>
    </row>
    <row r="27">
      <c r="A27" s="6" t="inlineStr">
        <is>
          <t>LinkedIn company page</t>
        </is>
      </c>
      <c r="B27" s="6" t="inlineStr">
        <is>
          <t>linkedin.com/company/setup/new</t>
        </is>
      </c>
      <c r="C27" s="6" t="inlineStr">
        <is>
          <t>Social</t>
        </is>
      </c>
      <c r="D27" s="6" t="inlineStr">
        <is>
          <t>Free</t>
        </is>
      </c>
      <c r="E27" s="6" t="inlineStr"/>
      <c r="F27" s="6" t="inlineStr">
        <is>
          <t>Well known</t>
        </is>
      </c>
      <c r="G27" s="6" t="inlineStr"/>
    </row>
    <row r="28">
      <c r="A28" s="6" t="inlineStr">
        <is>
          <t>Chamber of Commerce (chamberofcommerce.com)</t>
        </is>
      </c>
      <c r="B28" s="6" t="inlineStr">
        <is>
          <t>chamberofcommerce.com</t>
        </is>
      </c>
      <c r="C28" s="6" t="inlineStr">
        <is>
          <t>General directory</t>
        </is>
      </c>
      <c r="D28" s="6" t="inlineStr">
        <is>
          <t>Free basic listing</t>
        </is>
      </c>
      <c r="E28" s="6" t="inlineStr"/>
      <c r="F28" s="6" t="inlineStr">
        <is>
          <t>Not checked yet</t>
        </is>
      </c>
      <c r="G28" s="6" t="inlineStr">
        <is>
          <t>Not the same as their town's chamber.</t>
        </is>
      </c>
    </row>
    <row r="29">
      <c r="A29" s="6" t="inlineStr">
        <is>
          <t>Hotfrog</t>
        </is>
      </c>
      <c r="B29" s="6" t="inlineStr">
        <is>
          <t>hotfrog.com</t>
        </is>
      </c>
      <c r="C29" s="6" t="inlineStr">
        <is>
          <t>General directory</t>
        </is>
      </c>
      <c r="D29" s="6" t="inlineStr">
        <is>
          <t>Free</t>
        </is>
      </c>
      <c r="E29" s="6" t="inlineStr"/>
      <c r="F29" s="6" t="inlineStr">
        <is>
          <t>Not checked yet</t>
        </is>
      </c>
      <c r="G29" s="6" t="inlineStr"/>
    </row>
    <row r="30">
      <c r="A30" s="6" t="inlineStr">
        <is>
          <t>Brownbook</t>
        </is>
      </c>
      <c r="B30" s="6" t="inlineStr">
        <is>
          <t>brownbook.net</t>
        </is>
      </c>
      <c r="C30" s="6" t="inlineStr">
        <is>
          <t>General directory</t>
        </is>
      </c>
      <c r="D30" s="6" t="inlineStr">
        <is>
          <t>Free</t>
        </is>
      </c>
      <c r="E30" s="6" t="inlineStr"/>
      <c r="F30" s="6" t="inlineStr">
        <is>
          <t>Not checked yet</t>
        </is>
      </c>
      <c r="G30" s="6" t="inlineStr"/>
    </row>
    <row r="31">
      <c r="A31" s="6" t="inlineStr">
        <is>
          <t>EZlocal</t>
        </is>
      </c>
      <c r="B31" s="6" t="inlineStr">
        <is>
          <t>ezlocal.com</t>
        </is>
      </c>
      <c r="C31" s="6" t="inlineStr">
        <is>
          <t>General directory</t>
        </is>
      </c>
      <c r="D31" s="6" t="inlineStr">
        <is>
          <t>Free</t>
        </is>
      </c>
      <c r="E31" s="6" t="inlineStr"/>
      <c r="F31" s="6" t="inlineStr">
        <is>
          <t>Not checked yet</t>
        </is>
      </c>
      <c r="G31" s="6" t="inlineStr"/>
    </row>
    <row r="32">
      <c r="A32" s="6" t="inlineStr">
        <is>
          <t>ShowMeLocal</t>
        </is>
      </c>
      <c r="B32" s="6" t="inlineStr">
        <is>
          <t>showmelocal.com</t>
        </is>
      </c>
      <c r="C32" s="6" t="inlineStr">
        <is>
          <t>General directory</t>
        </is>
      </c>
      <c r="D32" s="6" t="inlineStr">
        <is>
          <t>Free</t>
        </is>
      </c>
      <c r="E32" s="6" t="inlineStr"/>
      <c r="F32" s="6" t="inlineStr">
        <is>
          <t>Not checked yet</t>
        </is>
      </c>
      <c r="G32" s="6" t="inlineStr"/>
    </row>
    <row r="33">
      <c r="A33" s="6" t="inlineStr">
        <is>
          <t>Cylex</t>
        </is>
      </c>
      <c r="B33" s="6" t="inlineStr">
        <is>
          <t>cylex.us.com</t>
        </is>
      </c>
      <c r="C33" s="6" t="inlineStr">
        <is>
          <t>General directory</t>
        </is>
      </c>
      <c r="D33" s="6" t="inlineStr">
        <is>
          <t>Free</t>
        </is>
      </c>
      <c r="E33" s="6" t="inlineStr"/>
      <c r="F33" s="6" t="inlineStr">
        <is>
          <t>Not checked yet</t>
        </is>
      </c>
      <c r="G33" s="6" t="inlineStr"/>
    </row>
    <row r="34">
      <c r="A34" s="6" t="inlineStr">
        <is>
          <t>MerchantCircle</t>
        </is>
      </c>
      <c r="B34" s="6" t="inlineStr">
        <is>
          <t>merchantcircle.com</t>
        </is>
      </c>
      <c r="C34" s="6" t="inlineStr">
        <is>
          <t>General directory</t>
        </is>
      </c>
      <c r="D34" s="6" t="inlineStr">
        <is>
          <t>Free</t>
        </is>
      </c>
      <c r="E34" s="6" t="inlineStr"/>
      <c r="F34" s="6" t="inlineStr">
        <is>
          <t>Not checked yet</t>
        </is>
      </c>
      <c r="G34" s="6" t="inlineStr"/>
    </row>
    <row r="35">
      <c r="A35" s="6" t="inlineStr">
        <is>
          <t>Hub.biz</t>
        </is>
      </c>
      <c r="B35" s="6" t="inlineStr">
        <is>
          <t>hub.biz</t>
        </is>
      </c>
      <c r="C35" s="6" t="inlineStr">
        <is>
          <t>General directory</t>
        </is>
      </c>
      <c r="D35" s="6" t="inlineStr">
        <is>
          <t>Free</t>
        </is>
      </c>
      <c r="E35" s="6" t="inlineStr"/>
      <c r="F35" s="6" t="inlineStr">
        <is>
          <t>Not checked yet</t>
        </is>
      </c>
      <c r="G35" s="6" t="inlineStr"/>
    </row>
    <row r="36">
      <c r="A36" s="6" t="inlineStr">
        <is>
          <t>Opendi</t>
        </is>
      </c>
      <c r="B36" s="6" t="inlineStr">
        <is>
          <t>opendi.us</t>
        </is>
      </c>
      <c r="C36" s="6" t="inlineStr">
        <is>
          <t>General directory</t>
        </is>
      </c>
      <c r="D36" s="6" t="inlineStr">
        <is>
          <t>Free</t>
        </is>
      </c>
      <c r="E36" s="6" t="inlineStr"/>
      <c r="F36" s="6" t="inlineStr">
        <is>
          <t>Not checked yet</t>
        </is>
      </c>
      <c r="G36" s="6" t="inlineStr"/>
    </row>
    <row r="37">
      <c r="A37" s="6" t="inlineStr">
        <is>
          <t>Trustpilot</t>
        </is>
      </c>
      <c r="B37" s="6" t="inlineStr">
        <is>
          <t>business.trustpilot.com</t>
        </is>
      </c>
      <c r="C37" s="6" t="inlineStr">
        <is>
          <t>Reviews</t>
        </is>
      </c>
      <c r="D37" s="6" t="inlineStr">
        <is>
          <t>Free basic account</t>
        </is>
      </c>
      <c r="E37" s="6" t="inlineStr"/>
      <c r="F37" s="6" t="inlineStr">
        <is>
          <t>Not checked yet</t>
        </is>
      </c>
      <c r="G37" s="6" t="inlineStr"/>
    </row>
    <row r="38">
      <c r="A38" s="6" t="inlineStr">
        <is>
          <t>Birdeye</t>
        </is>
      </c>
      <c r="B38" s="6" t="inlineStr">
        <is>
          <t>birdeye.com</t>
        </is>
      </c>
      <c r="C38" s="6" t="inlineStr">
        <is>
          <t>Reviews</t>
        </is>
      </c>
      <c r="D38" s="6" t="inlineStr">
        <is>
          <t>Free directory profile</t>
        </is>
      </c>
      <c r="E38" s="6" t="inlineStr"/>
      <c r="F38" s="6" t="inlineStr">
        <is>
          <t>Not checked yet</t>
        </is>
      </c>
      <c r="G38" s="6" t="inlineStr"/>
    </row>
    <row r="39">
      <c r="A39" s="6" t="inlineStr">
        <is>
          <t>Expertise.com</t>
        </is>
      </c>
      <c r="B39" s="6" t="inlineStr">
        <is>
          <t>expertise.com</t>
        </is>
      </c>
      <c r="C39" s="6" t="inlineStr">
        <is>
          <t>"Best of" lists</t>
        </is>
      </c>
      <c r="D39" s="6" t="inlineStr">
        <is>
          <t>They choose who's listed</t>
        </is>
      </c>
      <c r="E39" s="6" t="inlineStr"/>
      <c r="F39" s="6" t="inlineStr">
        <is>
          <t>Not checked yet</t>
        </is>
      </c>
      <c r="G39" s="6" t="inlineStr">
        <is>
          <t>Check whether they're listed; you can't sign up.</t>
        </is>
      </c>
    </row>
    <row r="40">
      <c r="A40" s="6" t="inlineStr">
        <is>
          <t>Local Home Service Pros</t>
        </is>
      </c>
      <c r="B40" s="6" t="inlineStr">
        <is>
          <t>localhomeservicepros.com</t>
        </is>
      </c>
      <c r="C40" s="6" t="inlineStr">
        <is>
          <t>Home services directory</t>
        </is>
      </c>
      <c r="D40" s="6" t="inlineStr">
        <is>
          <t>Free</t>
        </is>
      </c>
      <c r="E40" s="6" t="inlineStr"/>
      <c r="F40" s="6" t="inlineStr">
        <is>
          <t>Not checked yet</t>
        </is>
      </c>
      <c r="G40" s="6" t="inlineStr"/>
    </row>
    <row r="41">
      <c r="A41" s="6" t="inlineStr">
        <is>
          <t>HomeBlue</t>
        </is>
      </c>
      <c r="B41" s="6" t="inlineStr">
        <is>
          <t>homeblue.com</t>
        </is>
      </c>
      <c r="C41" s="6" t="inlineStr">
        <is>
          <t>Home services directory</t>
        </is>
      </c>
      <c r="D41" s="6" t="inlineStr">
        <is>
          <t>Free</t>
        </is>
      </c>
      <c r="E41" s="6" t="inlineStr"/>
      <c r="F41" s="6" t="inlineStr">
        <is>
          <t>Not checked yet</t>
        </is>
      </c>
      <c r="G41" s="6" t="inlineStr"/>
    </row>
    <row r="42">
      <c r="A42" s="6" t="inlineStr">
        <is>
          <t>Networx</t>
        </is>
      </c>
      <c r="B42" s="6" t="inlineStr">
        <is>
          <t>networx.com</t>
        </is>
      </c>
      <c r="C42" s="6" t="inlineStr">
        <is>
          <t>Home services leads</t>
        </is>
      </c>
      <c r="D42" s="6" t="inlineStr">
        <is>
          <t>Paid leads</t>
        </is>
      </c>
      <c r="E42" s="6" t="inlineStr"/>
      <c r="F42" s="6" t="inlineStr">
        <is>
          <t>Not checked yet</t>
        </is>
      </c>
      <c r="G42" s="6" t="inlineStr">
        <is>
          <t>Check only.</t>
        </is>
      </c>
    </row>
    <row r="43">
      <c r="A43" s="6" t="inlineStr">
        <is>
          <t>eLocal</t>
        </is>
      </c>
      <c r="B43" s="6" t="inlineStr">
        <is>
          <t>elocal.com</t>
        </is>
      </c>
      <c r="C43" s="6" t="inlineStr">
        <is>
          <t>Services leads</t>
        </is>
      </c>
      <c r="D43" s="6" t="inlineStr">
        <is>
          <t>Paid leads</t>
        </is>
      </c>
      <c r="E43" s="6" t="inlineStr"/>
      <c r="F43" s="6" t="inlineStr">
        <is>
          <t>Not checked yet</t>
        </is>
      </c>
      <c r="G43" s="6" t="inlineStr">
        <is>
          <t>Check only.</t>
        </is>
      </c>
    </row>
    <row r="44">
      <c r="A44" s="6" t="inlineStr">
        <is>
          <t>Care.com</t>
        </is>
      </c>
      <c r="B44" s="6" t="inlineStr">
        <is>
          <t>care.com</t>
        </is>
      </c>
      <c r="C44" s="6" t="inlineStr">
        <is>
          <t>Household help</t>
        </is>
      </c>
      <c r="D44" s="6" t="inlineStr">
        <is>
          <t>Business profiles</t>
        </is>
      </c>
      <c r="E44" s="6" t="inlineStr"/>
      <c r="F44" s="6" t="inlineStr">
        <is>
          <t>Not checked yet</t>
        </is>
      </c>
      <c r="G44" s="6" t="inlineStr">
        <is>
          <t>Check only, for house cleaning.</t>
        </is>
      </c>
    </row>
    <row r="45">
      <c r="A45" s="6" t="inlineStr">
        <is>
          <t>TaskRabbit</t>
        </is>
      </c>
      <c r="B45" s="6" t="inlineStr">
        <is>
          <t>taskrabbit.com</t>
        </is>
      </c>
      <c r="C45" s="6" t="inlineStr">
        <is>
          <t>Odd jobs (people, not companies)</t>
        </is>
      </c>
      <c r="D45" s="6" t="inlineStr"/>
      <c r="E45" s="6" t="inlineStr"/>
      <c r="F45" s="6" t="inlineStr">
        <is>
          <t>Not checked yet</t>
        </is>
      </c>
      <c r="G45" s="6" t="inlineStr">
        <is>
          <t>Check only, for handyman, junk removal and hauling.</t>
        </is>
      </c>
    </row>
    <row r="46">
      <c r="A46" s="6" t="inlineStr">
        <is>
          <t>Craigslist services</t>
        </is>
      </c>
      <c r="B46" s="6" t="inlineStr">
        <is>
          <t>craigslist.org</t>
        </is>
      </c>
      <c r="C46" s="6" t="inlineStr">
        <is>
          <t>Classified ads</t>
        </is>
      </c>
      <c r="D46" s="6" t="inlineStr">
        <is>
          <t>Paid posts</t>
        </is>
      </c>
      <c r="E46" s="6" t="inlineStr"/>
      <c r="F46" s="6" t="inlineStr">
        <is>
          <t>Not checked yet</t>
        </is>
      </c>
      <c r="G46" s="6" t="inlineStr">
        <is>
          <t>Check for old or fake ads using their name or number.</t>
        </is>
      </c>
    </row>
    <row r="47">
      <c r="A47" s="6" t="inlineStr">
        <is>
          <t>Their town's chamber of commerce</t>
        </is>
      </c>
      <c r="B47" s="6" t="inlineStr">
        <is>
          <t>search "[town] chamber of commerce"</t>
        </is>
      </c>
      <c r="C47" s="6" t="inlineStr">
        <is>
          <t>Local directory</t>
        </is>
      </c>
      <c r="D47" s="6" t="inlineStr">
        <is>
          <t>Membership is usually paid</t>
        </is>
      </c>
      <c r="E47" s="6" t="inlineStr"/>
      <c r="F47" s="6" t="inlineStr">
        <is>
          <t>Not checked yet</t>
        </is>
      </c>
      <c r="G47" s="6" t="inlineStr">
        <is>
          <t>Check whether they're a member and listed.</t>
        </is>
      </c>
    </row>
    <row r="48">
      <c r="A48" s="6" t="inlineStr">
        <is>
          <t>Trade association directory</t>
        </is>
      </c>
      <c r="B48" s="6" t="inlineStr">
        <is>
          <t>e.g. ACCA (HVAC), PHCC (plumbing), NRCA (roofing), PDCA (painting), NALP (landscaping), ARCSI (cleaning), IDA (detailing), PWNA (pressure washing)</t>
        </is>
      </c>
      <c r="C48" s="6" t="inlineStr">
        <is>
          <t>Trade directory</t>
        </is>
      </c>
      <c r="D48" s="6" t="inlineStr">
        <is>
          <t>Membership is paid</t>
        </is>
      </c>
      <c r="E48" s="6" t="inlineStr"/>
      <c r="F48" s="6" t="inlineStr">
        <is>
          <t>Not checked yet</t>
        </is>
      </c>
      <c r="G48" s="6" t="inlineStr">
        <is>
          <t>Check whether they're a member and listed correctly.</t>
        </is>
      </c>
    </row>
    <row r="49">
      <c r="A49" s="6" t="inlineStr">
        <is>
          <t>Manufacturer contractor finder</t>
        </is>
      </c>
      <c r="B49" s="6" t="inlineStr">
        <is>
          <t>e.g. GAF or Owens Corning (roofing), Carrier or Trane (HVAC)</t>
        </is>
      </c>
      <c r="C49" s="6" t="inlineStr">
        <is>
          <t>Trade directory</t>
        </is>
      </c>
      <c r="D49" s="6" t="inlineStr">
        <is>
          <t>Only for certified contractors</t>
        </is>
      </c>
      <c r="E49" s="6" t="inlineStr"/>
      <c r="F49" s="6" t="inlineStr">
        <is>
          <t>Not checked yet</t>
        </is>
      </c>
      <c r="G49" s="6" t="inlineStr">
        <is>
          <t>Check only if they're certified.</t>
        </is>
      </c>
    </row>
    <row r="50">
      <c r="A50" s="6" t="inlineStr">
        <is>
          <t>State license lookup</t>
        </is>
      </c>
      <c r="B50" s="6" t="inlineStr">
        <is>
          <t>search "[state] contractor license lookup"</t>
        </is>
      </c>
      <c r="C50" s="6" t="inlineStr">
        <is>
          <t>Official record</t>
        </is>
      </c>
      <c r="D50" s="6" t="inlineStr"/>
      <c r="E50" s="6" t="inlineStr"/>
      <c r="F50" s="6" t="inlineStr">
        <is>
          <t>Not checked yet</t>
        </is>
      </c>
      <c r="G50" s="6" t="inlineStr">
        <is>
          <t>Not a listing, but the name on the license should match the business details.</t>
        </is>
      </c>
    </row>
    <row r="52">
      <c r="A52" s="4" t="inlineStr">
        <is>
          <t>Core directories</t>
        </is>
      </c>
      <c r="H52">
        <f>COUNTIF(H2:H50,"Yes")</f>
        <v/>
      </c>
      <c r="I52">
        <f>COUNTIF(I2:I50,"Yes")</f>
        <v/>
      </c>
      <c r="J52">
        <f>COUNTIF(J2:J50,"Yes")</f>
        <v/>
      </c>
      <c r="K52">
        <f>COUNTIF(K2:K50,"Yes")</f>
        <v/>
      </c>
      <c r="L52">
        <f>COUNTIF(L2:L50,"Yes")</f>
        <v/>
      </c>
      <c r="M52">
        <f>COUNTIF(M2:M50,"Yes")</f>
        <v/>
      </c>
      <c r="N52">
        <f>COUNTIF(N2:N50,"Yes")</f>
        <v/>
      </c>
      <c r="O52">
        <f>COUNTIF(O2:O50,"Yes")</f>
        <v/>
      </c>
      <c r="P52">
        <f>COUNTIF(P2:P50,"Yes")</f>
        <v/>
      </c>
      <c r="Q52">
        <f>COUNTIF(Q2:Q50,"Yes")</f>
        <v/>
      </c>
      <c r="R52">
        <f>COUNTIF(R2:R50,"Yes")</f>
        <v/>
      </c>
      <c r="S52">
        <f>COUNTIF(S2:S50,"Yes")</f>
        <v/>
      </c>
      <c r="T52">
        <f>COUNTIF(T2:T50,"Yes")</f>
        <v/>
      </c>
      <c r="U52">
        <f>COUNTIF(U2:U50,"Yes")</f>
        <v/>
      </c>
      <c r="V52">
        <f>COUNTIF(V2:V50,"Yes")</f>
        <v/>
      </c>
    </row>
    <row r="53">
      <c r="A53" t="inlineStr">
        <is>
          <t>Total directories checked</t>
        </is>
      </c>
      <c r="B53">
        <f>COUNTA(A2:A50)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40" customWidth="1" min="5" max="5"/>
    <col width="34" customWidth="1" min="6" max="6"/>
    <col width="13" customWidth="1" min="7" max="7"/>
    <col width="13" customWidth="1" min="8" max="8"/>
    <col width="13" customWidth="1" min="9" max="9"/>
    <col width="34" customWidth="1" min="10" max="10"/>
  </cols>
  <sheetData>
    <row r="1" ht="36" customHeight="1">
      <c r="A1" s="3" t="inlineStr">
        <is>
          <t>Directory</t>
        </is>
      </c>
      <c r="B1" s="3" t="inlineStr">
        <is>
          <t>Core for this business</t>
        </is>
      </c>
      <c r="C1" s="3" t="inlineStr">
        <is>
          <t>How often to check</t>
        </is>
      </c>
      <c r="D1" s="3" t="inlineStr">
        <is>
          <t>Status</t>
        </is>
      </c>
      <c r="E1" s="3" t="inlineStr">
        <is>
          <t>What's wrong</t>
        </is>
      </c>
      <c r="F1" s="3" t="inlineStr">
        <is>
          <t>Link to their listing</t>
        </is>
      </c>
      <c r="G1" s="3" t="inlineStr">
        <is>
          <t>Login in password manager</t>
        </is>
      </c>
      <c r="H1" s="3" t="inlineStr">
        <is>
          <t>Last checked</t>
        </is>
      </c>
      <c r="I1" s="3" t="inlineStr">
        <is>
          <t>Fixed on</t>
        </is>
      </c>
      <c r="J1" s="3" t="inlineStr">
        <is>
          <t>Notes</t>
        </is>
      </c>
    </row>
    <row r="2">
      <c r="A2">
        <f>Directories!A2</f>
        <v/>
      </c>
      <c r="B2">
        <f>IF('Business details'!$B$4="","",IF(INDEX(Directories!$H2:$V2,MATCH('Business details'!$B$4,Directories!$H$1:$V$1,0))="Yes","Yes","No"))</f>
        <v/>
      </c>
      <c r="C2">
        <f>IF(B2="","",IF(B2="Yes","Every month","Every 3 months"))</f>
        <v/>
      </c>
      <c r="H2" s="7" t="n"/>
      <c r="I2" s="7" t="n"/>
    </row>
    <row r="3">
      <c r="A3">
        <f>Directories!A3</f>
        <v/>
      </c>
      <c r="B3">
        <f>IF('Business details'!$B$4="","",IF(INDEX(Directories!$H3:$V3,MATCH('Business details'!$B$4,Directories!$H$1:$V$1,0))="Yes","Yes","No"))</f>
        <v/>
      </c>
      <c r="C3">
        <f>IF(B3="","",IF(B3="Yes","Every month","Every 3 months"))</f>
        <v/>
      </c>
      <c r="H3" s="7" t="n"/>
      <c r="I3" s="7" t="n"/>
    </row>
    <row r="4">
      <c r="A4">
        <f>Directories!A4</f>
        <v/>
      </c>
      <c r="B4">
        <f>IF('Business details'!$B$4="","",IF(INDEX(Directories!$H4:$V4,MATCH('Business details'!$B$4,Directories!$H$1:$V$1,0))="Yes","Yes","No"))</f>
        <v/>
      </c>
      <c r="C4">
        <f>IF(B4="","",IF(B4="Yes","Every month","Every 3 months"))</f>
        <v/>
      </c>
      <c r="H4" s="7" t="n"/>
      <c r="I4" s="7" t="n"/>
    </row>
    <row r="5">
      <c r="A5">
        <f>Directories!A5</f>
        <v/>
      </c>
      <c r="B5">
        <f>IF('Business details'!$B$4="","",IF(INDEX(Directories!$H5:$V5,MATCH('Business details'!$B$4,Directories!$H$1:$V$1,0))="Yes","Yes","No"))</f>
        <v/>
      </c>
      <c r="C5">
        <f>IF(B5="","",IF(B5="Yes","Every month","Every 3 months"))</f>
        <v/>
      </c>
      <c r="H5" s="7" t="n"/>
      <c r="I5" s="7" t="n"/>
    </row>
    <row r="6">
      <c r="A6">
        <f>Directories!A6</f>
        <v/>
      </c>
      <c r="B6">
        <f>IF('Business details'!$B$4="","",IF(INDEX(Directories!$H6:$V6,MATCH('Business details'!$B$4,Directories!$H$1:$V$1,0))="Yes","Yes","No"))</f>
        <v/>
      </c>
      <c r="C6">
        <f>IF(B6="","",IF(B6="Yes","Every month","Every 3 months"))</f>
        <v/>
      </c>
      <c r="H6" s="7" t="n"/>
      <c r="I6" s="7" t="n"/>
    </row>
    <row r="7">
      <c r="A7">
        <f>Directories!A7</f>
        <v/>
      </c>
      <c r="B7">
        <f>IF('Business details'!$B$4="","",IF(INDEX(Directories!$H7:$V7,MATCH('Business details'!$B$4,Directories!$H$1:$V$1,0))="Yes","Yes","No"))</f>
        <v/>
      </c>
      <c r="C7">
        <f>IF(B7="","",IF(B7="Yes","Every month","Every 3 months"))</f>
        <v/>
      </c>
      <c r="H7" s="7" t="n"/>
      <c r="I7" s="7" t="n"/>
    </row>
    <row r="8">
      <c r="A8">
        <f>Directories!A8</f>
        <v/>
      </c>
      <c r="B8">
        <f>IF('Business details'!$B$4="","",IF(INDEX(Directories!$H8:$V8,MATCH('Business details'!$B$4,Directories!$H$1:$V$1,0))="Yes","Yes","No"))</f>
        <v/>
      </c>
      <c r="C8">
        <f>IF(B8="","",IF(B8="Yes","Every month","Every 3 months"))</f>
        <v/>
      </c>
      <c r="H8" s="7" t="n"/>
      <c r="I8" s="7" t="n"/>
    </row>
    <row r="9">
      <c r="A9">
        <f>Directories!A9</f>
        <v/>
      </c>
      <c r="B9">
        <f>IF('Business details'!$B$4="","",IF(INDEX(Directories!$H9:$V9,MATCH('Business details'!$B$4,Directories!$H$1:$V$1,0))="Yes","Yes","No"))</f>
        <v/>
      </c>
      <c r="C9">
        <f>IF(B9="","",IF(B9="Yes","Every month","Every 3 months"))</f>
        <v/>
      </c>
      <c r="H9" s="7" t="n"/>
      <c r="I9" s="7" t="n"/>
    </row>
    <row r="10">
      <c r="A10">
        <f>Directories!A10</f>
        <v/>
      </c>
      <c r="B10">
        <f>IF('Business details'!$B$4="","",IF(INDEX(Directories!$H10:$V10,MATCH('Business details'!$B$4,Directories!$H$1:$V$1,0))="Yes","Yes","No"))</f>
        <v/>
      </c>
      <c r="C10">
        <f>IF(B10="","",IF(B10="Yes","Every month","Every 3 months"))</f>
        <v/>
      </c>
      <c r="H10" s="7" t="n"/>
      <c r="I10" s="7" t="n"/>
    </row>
    <row r="11">
      <c r="A11">
        <f>Directories!A11</f>
        <v/>
      </c>
      <c r="B11">
        <f>IF('Business details'!$B$4="","",IF(INDEX(Directories!$H11:$V11,MATCH('Business details'!$B$4,Directories!$H$1:$V$1,0))="Yes","Yes","No"))</f>
        <v/>
      </c>
      <c r="C11">
        <f>IF(B11="","",IF(B11="Yes","Every month","Every 3 months"))</f>
        <v/>
      </c>
      <c r="H11" s="7" t="n"/>
      <c r="I11" s="7" t="n"/>
    </row>
    <row r="12">
      <c r="A12">
        <f>Directories!A12</f>
        <v/>
      </c>
      <c r="B12">
        <f>IF('Business details'!$B$4="","",IF(INDEX(Directories!$H12:$V12,MATCH('Business details'!$B$4,Directories!$H$1:$V$1,0))="Yes","Yes","No"))</f>
        <v/>
      </c>
      <c r="C12">
        <f>IF(B12="","",IF(B12="Yes","Every month","Every 3 months"))</f>
        <v/>
      </c>
      <c r="H12" s="7" t="n"/>
      <c r="I12" s="7" t="n"/>
    </row>
    <row r="13">
      <c r="A13">
        <f>Directories!A13</f>
        <v/>
      </c>
      <c r="B13">
        <f>IF('Business details'!$B$4="","",IF(INDEX(Directories!$H13:$V13,MATCH('Business details'!$B$4,Directories!$H$1:$V$1,0))="Yes","Yes","No"))</f>
        <v/>
      </c>
      <c r="C13">
        <f>IF(B13="","",IF(B13="Yes","Every month","Every 3 months"))</f>
        <v/>
      </c>
      <c r="H13" s="7" t="n"/>
      <c r="I13" s="7" t="n"/>
    </row>
    <row r="14">
      <c r="A14">
        <f>Directories!A14</f>
        <v/>
      </c>
      <c r="B14">
        <f>IF('Business details'!$B$4="","",IF(INDEX(Directories!$H14:$V14,MATCH('Business details'!$B$4,Directories!$H$1:$V$1,0))="Yes","Yes","No"))</f>
        <v/>
      </c>
      <c r="C14">
        <f>IF(B14="","",IF(B14="Yes","Every month","Every 3 months"))</f>
        <v/>
      </c>
      <c r="H14" s="7" t="n"/>
      <c r="I14" s="7" t="n"/>
    </row>
    <row r="15">
      <c r="A15">
        <f>Directories!A15</f>
        <v/>
      </c>
      <c r="B15">
        <f>IF('Business details'!$B$4="","",IF(INDEX(Directories!$H15:$V15,MATCH('Business details'!$B$4,Directories!$H$1:$V$1,0))="Yes","Yes","No"))</f>
        <v/>
      </c>
      <c r="C15">
        <f>IF(B15="","",IF(B15="Yes","Every month","Every 3 months"))</f>
        <v/>
      </c>
      <c r="H15" s="7" t="n"/>
      <c r="I15" s="7" t="n"/>
    </row>
    <row r="16">
      <c r="A16">
        <f>Directories!A16</f>
        <v/>
      </c>
      <c r="B16">
        <f>IF('Business details'!$B$4="","",IF(INDEX(Directories!$H16:$V16,MATCH('Business details'!$B$4,Directories!$H$1:$V$1,0))="Yes","Yes","No"))</f>
        <v/>
      </c>
      <c r="C16">
        <f>IF(B16="","",IF(B16="Yes","Every month","Every 3 months"))</f>
        <v/>
      </c>
      <c r="H16" s="7" t="n"/>
      <c r="I16" s="7" t="n"/>
    </row>
    <row r="17">
      <c r="A17">
        <f>Directories!A17</f>
        <v/>
      </c>
      <c r="B17">
        <f>IF('Business details'!$B$4="","",IF(INDEX(Directories!$H17:$V17,MATCH('Business details'!$B$4,Directories!$H$1:$V$1,0))="Yes","Yes","No"))</f>
        <v/>
      </c>
      <c r="C17">
        <f>IF(B17="","",IF(B17="Yes","Every month","Every 3 months"))</f>
        <v/>
      </c>
      <c r="H17" s="7" t="n"/>
      <c r="I17" s="7" t="n"/>
    </row>
    <row r="18">
      <c r="A18">
        <f>Directories!A18</f>
        <v/>
      </c>
      <c r="B18">
        <f>IF('Business details'!$B$4="","",IF(INDEX(Directories!$H18:$V18,MATCH('Business details'!$B$4,Directories!$H$1:$V$1,0))="Yes","Yes","No"))</f>
        <v/>
      </c>
      <c r="C18">
        <f>IF(B18="","",IF(B18="Yes","Every month","Every 3 months"))</f>
        <v/>
      </c>
      <c r="H18" s="7" t="n"/>
      <c r="I18" s="7" t="n"/>
    </row>
    <row r="19">
      <c r="A19">
        <f>Directories!A19</f>
        <v/>
      </c>
      <c r="B19">
        <f>IF('Business details'!$B$4="","",IF(INDEX(Directories!$H19:$V19,MATCH('Business details'!$B$4,Directories!$H$1:$V$1,0))="Yes","Yes","No"))</f>
        <v/>
      </c>
      <c r="C19">
        <f>IF(B19="","",IF(B19="Yes","Every month","Every 3 months"))</f>
        <v/>
      </c>
      <c r="H19" s="7" t="n"/>
      <c r="I19" s="7" t="n"/>
    </row>
    <row r="20">
      <c r="A20">
        <f>Directories!A20</f>
        <v/>
      </c>
      <c r="B20">
        <f>IF('Business details'!$B$4="","",IF(INDEX(Directories!$H20:$V20,MATCH('Business details'!$B$4,Directories!$H$1:$V$1,0))="Yes","Yes","No"))</f>
        <v/>
      </c>
      <c r="C20">
        <f>IF(B20="","",IF(B20="Yes","Every month","Every 3 months"))</f>
        <v/>
      </c>
      <c r="H20" s="7" t="n"/>
      <c r="I20" s="7" t="n"/>
    </row>
    <row r="21">
      <c r="A21">
        <f>Directories!A21</f>
        <v/>
      </c>
      <c r="B21">
        <f>IF('Business details'!$B$4="","",IF(INDEX(Directories!$H21:$V21,MATCH('Business details'!$B$4,Directories!$H$1:$V$1,0))="Yes","Yes","No"))</f>
        <v/>
      </c>
      <c r="C21">
        <f>IF(B21="","",IF(B21="Yes","Every month","Every 3 months"))</f>
        <v/>
      </c>
      <c r="H21" s="7" t="n"/>
      <c r="I21" s="7" t="n"/>
    </row>
    <row r="22">
      <c r="A22">
        <f>Directories!A22</f>
        <v/>
      </c>
      <c r="B22">
        <f>IF('Business details'!$B$4="","",IF(INDEX(Directories!$H22:$V22,MATCH('Business details'!$B$4,Directories!$H$1:$V$1,0))="Yes","Yes","No"))</f>
        <v/>
      </c>
      <c r="C22">
        <f>IF(B22="","",IF(B22="Yes","Every month","Every 3 months"))</f>
        <v/>
      </c>
      <c r="H22" s="7" t="n"/>
      <c r="I22" s="7" t="n"/>
    </row>
    <row r="23">
      <c r="A23">
        <f>Directories!A23</f>
        <v/>
      </c>
      <c r="B23">
        <f>IF('Business details'!$B$4="","",IF(INDEX(Directories!$H23:$V23,MATCH('Business details'!$B$4,Directories!$H$1:$V$1,0))="Yes","Yes","No"))</f>
        <v/>
      </c>
      <c r="C23">
        <f>IF(B23="","",IF(B23="Yes","Every month","Every 3 months"))</f>
        <v/>
      </c>
      <c r="H23" s="7" t="n"/>
      <c r="I23" s="7" t="n"/>
    </row>
    <row r="24">
      <c r="A24">
        <f>Directories!A24</f>
        <v/>
      </c>
      <c r="B24">
        <f>IF('Business details'!$B$4="","",IF(INDEX(Directories!$H24:$V24,MATCH('Business details'!$B$4,Directories!$H$1:$V$1,0))="Yes","Yes","No"))</f>
        <v/>
      </c>
      <c r="C24">
        <f>IF(B24="","",IF(B24="Yes","Every month","Every 3 months"))</f>
        <v/>
      </c>
      <c r="H24" s="7" t="n"/>
      <c r="I24" s="7" t="n"/>
    </row>
    <row r="25">
      <c r="A25">
        <f>Directories!A25</f>
        <v/>
      </c>
      <c r="B25">
        <f>IF('Business details'!$B$4="","",IF(INDEX(Directories!$H25:$V25,MATCH('Business details'!$B$4,Directories!$H$1:$V$1,0))="Yes","Yes","No"))</f>
        <v/>
      </c>
      <c r="C25">
        <f>IF(B25="","",IF(B25="Yes","Every month","Every 3 months"))</f>
        <v/>
      </c>
      <c r="H25" s="7" t="n"/>
      <c r="I25" s="7" t="n"/>
    </row>
    <row r="26">
      <c r="A26">
        <f>Directories!A26</f>
        <v/>
      </c>
      <c r="B26">
        <f>IF('Business details'!$B$4="","",IF(INDEX(Directories!$H26:$V26,MATCH('Business details'!$B$4,Directories!$H$1:$V$1,0))="Yes","Yes","No"))</f>
        <v/>
      </c>
      <c r="C26">
        <f>IF(B26="","",IF(B26="Yes","Every month","Every 3 months"))</f>
        <v/>
      </c>
      <c r="H26" s="7" t="n"/>
      <c r="I26" s="7" t="n"/>
    </row>
    <row r="27">
      <c r="A27">
        <f>Directories!A27</f>
        <v/>
      </c>
      <c r="B27">
        <f>IF('Business details'!$B$4="","",IF(INDEX(Directories!$H27:$V27,MATCH('Business details'!$B$4,Directories!$H$1:$V$1,0))="Yes","Yes","No"))</f>
        <v/>
      </c>
      <c r="C27">
        <f>IF(B27="","",IF(B27="Yes","Every month","Every 3 months"))</f>
        <v/>
      </c>
      <c r="H27" s="7" t="n"/>
      <c r="I27" s="7" t="n"/>
    </row>
    <row r="28">
      <c r="A28">
        <f>Directories!A28</f>
        <v/>
      </c>
      <c r="B28">
        <f>IF('Business details'!$B$4="","",IF(INDEX(Directories!$H28:$V28,MATCH('Business details'!$B$4,Directories!$H$1:$V$1,0))="Yes","Yes","No"))</f>
        <v/>
      </c>
      <c r="C28">
        <f>IF(B28="","",IF(B28="Yes","Every month","Every 3 months"))</f>
        <v/>
      </c>
      <c r="H28" s="7" t="n"/>
      <c r="I28" s="7" t="n"/>
    </row>
    <row r="29">
      <c r="A29">
        <f>Directories!A29</f>
        <v/>
      </c>
      <c r="B29">
        <f>IF('Business details'!$B$4="","",IF(INDEX(Directories!$H29:$V29,MATCH('Business details'!$B$4,Directories!$H$1:$V$1,0))="Yes","Yes","No"))</f>
        <v/>
      </c>
      <c r="C29">
        <f>IF(B29="","",IF(B29="Yes","Every month","Every 3 months"))</f>
        <v/>
      </c>
      <c r="H29" s="7" t="n"/>
      <c r="I29" s="7" t="n"/>
    </row>
    <row r="30">
      <c r="A30">
        <f>Directories!A30</f>
        <v/>
      </c>
      <c r="B30">
        <f>IF('Business details'!$B$4="","",IF(INDEX(Directories!$H30:$V30,MATCH('Business details'!$B$4,Directories!$H$1:$V$1,0))="Yes","Yes","No"))</f>
        <v/>
      </c>
      <c r="C30">
        <f>IF(B30="","",IF(B30="Yes","Every month","Every 3 months"))</f>
        <v/>
      </c>
      <c r="H30" s="7" t="n"/>
      <c r="I30" s="7" t="n"/>
    </row>
    <row r="31">
      <c r="A31">
        <f>Directories!A31</f>
        <v/>
      </c>
      <c r="B31">
        <f>IF('Business details'!$B$4="","",IF(INDEX(Directories!$H31:$V31,MATCH('Business details'!$B$4,Directories!$H$1:$V$1,0))="Yes","Yes","No"))</f>
        <v/>
      </c>
      <c r="C31">
        <f>IF(B31="","",IF(B31="Yes","Every month","Every 3 months"))</f>
        <v/>
      </c>
      <c r="H31" s="7" t="n"/>
      <c r="I31" s="7" t="n"/>
    </row>
    <row r="32">
      <c r="A32">
        <f>Directories!A32</f>
        <v/>
      </c>
      <c r="B32">
        <f>IF('Business details'!$B$4="","",IF(INDEX(Directories!$H32:$V32,MATCH('Business details'!$B$4,Directories!$H$1:$V$1,0))="Yes","Yes","No"))</f>
        <v/>
      </c>
      <c r="C32">
        <f>IF(B32="","",IF(B32="Yes","Every month","Every 3 months"))</f>
        <v/>
      </c>
      <c r="H32" s="7" t="n"/>
      <c r="I32" s="7" t="n"/>
    </row>
    <row r="33">
      <c r="A33">
        <f>Directories!A33</f>
        <v/>
      </c>
      <c r="B33">
        <f>IF('Business details'!$B$4="","",IF(INDEX(Directories!$H33:$V33,MATCH('Business details'!$B$4,Directories!$H$1:$V$1,0))="Yes","Yes","No"))</f>
        <v/>
      </c>
      <c r="C33">
        <f>IF(B33="","",IF(B33="Yes","Every month","Every 3 months"))</f>
        <v/>
      </c>
      <c r="H33" s="7" t="n"/>
      <c r="I33" s="7" t="n"/>
    </row>
    <row r="34">
      <c r="A34">
        <f>Directories!A34</f>
        <v/>
      </c>
      <c r="B34">
        <f>IF('Business details'!$B$4="","",IF(INDEX(Directories!$H34:$V34,MATCH('Business details'!$B$4,Directories!$H$1:$V$1,0))="Yes","Yes","No"))</f>
        <v/>
      </c>
      <c r="C34">
        <f>IF(B34="","",IF(B34="Yes","Every month","Every 3 months"))</f>
        <v/>
      </c>
      <c r="H34" s="7" t="n"/>
      <c r="I34" s="7" t="n"/>
    </row>
    <row r="35">
      <c r="A35">
        <f>Directories!A35</f>
        <v/>
      </c>
      <c r="B35">
        <f>IF('Business details'!$B$4="","",IF(INDEX(Directories!$H35:$V35,MATCH('Business details'!$B$4,Directories!$H$1:$V$1,0))="Yes","Yes","No"))</f>
        <v/>
      </c>
      <c r="C35">
        <f>IF(B35="","",IF(B35="Yes","Every month","Every 3 months"))</f>
        <v/>
      </c>
      <c r="H35" s="7" t="n"/>
      <c r="I35" s="7" t="n"/>
    </row>
    <row r="36">
      <c r="A36">
        <f>Directories!A36</f>
        <v/>
      </c>
      <c r="B36">
        <f>IF('Business details'!$B$4="","",IF(INDEX(Directories!$H36:$V36,MATCH('Business details'!$B$4,Directories!$H$1:$V$1,0))="Yes","Yes","No"))</f>
        <v/>
      </c>
      <c r="C36">
        <f>IF(B36="","",IF(B36="Yes","Every month","Every 3 months"))</f>
        <v/>
      </c>
      <c r="H36" s="7" t="n"/>
      <c r="I36" s="7" t="n"/>
    </row>
    <row r="37">
      <c r="A37">
        <f>Directories!A37</f>
        <v/>
      </c>
      <c r="B37">
        <f>IF('Business details'!$B$4="","",IF(INDEX(Directories!$H37:$V37,MATCH('Business details'!$B$4,Directories!$H$1:$V$1,0))="Yes","Yes","No"))</f>
        <v/>
      </c>
      <c r="C37">
        <f>IF(B37="","",IF(B37="Yes","Every month","Every 3 months"))</f>
        <v/>
      </c>
      <c r="H37" s="7" t="n"/>
      <c r="I37" s="7" t="n"/>
    </row>
    <row r="38">
      <c r="A38">
        <f>Directories!A38</f>
        <v/>
      </c>
      <c r="B38">
        <f>IF('Business details'!$B$4="","",IF(INDEX(Directories!$H38:$V38,MATCH('Business details'!$B$4,Directories!$H$1:$V$1,0))="Yes","Yes","No"))</f>
        <v/>
      </c>
      <c r="C38">
        <f>IF(B38="","",IF(B38="Yes","Every month","Every 3 months"))</f>
        <v/>
      </c>
      <c r="H38" s="7" t="n"/>
      <c r="I38" s="7" t="n"/>
    </row>
    <row r="39">
      <c r="A39">
        <f>Directories!A39</f>
        <v/>
      </c>
      <c r="B39">
        <f>IF('Business details'!$B$4="","",IF(INDEX(Directories!$H39:$V39,MATCH('Business details'!$B$4,Directories!$H$1:$V$1,0))="Yes","Yes","No"))</f>
        <v/>
      </c>
      <c r="C39">
        <f>IF(B39="","",IF(B39="Yes","Every month","Every 3 months"))</f>
        <v/>
      </c>
      <c r="H39" s="7" t="n"/>
      <c r="I39" s="7" t="n"/>
    </row>
    <row r="40">
      <c r="A40">
        <f>Directories!A40</f>
        <v/>
      </c>
      <c r="B40">
        <f>IF('Business details'!$B$4="","",IF(INDEX(Directories!$H40:$V40,MATCH('Business details'!$B$4,Directories!$H$1:$V$1,0))="Yes","Yes","No"))</f>
        <v/>
      </c>
      <c r="C40">
        <f>IF(B40="","",IF(B40="Yes","Every month","Every 3 months"))</f>
        <v/>
      </c>
      <c r="H40" s="7" t="n"/>
      <c r="I40" s="7" t="n"/>
    </row>
    <row r="41">
      <c r="A41">
        <f>Directories!A41</f>
        <v/>
      </c>
      <c r="B41">
        <f>IF('Business details'!$B$4="","",IF(INDEX(Directories!$H41:$V41,MATCH('Business details'!$B$4,Directories!$H$1:$V$1,0))="Yes","Yes","No"))</f>
        <v/>
      </c>
      <c r="C41">
        <f>IF(B41="","",IF(B41="Yes","Every month","Every 3 months"))</f>
        <v/>
      </c>
      <c r="H41" s="7" t="n"/>
      <c r="I41" s="7" t="n"/>
    </row>
    <row r="42">
      <c r="A42">
        <f>Directories!A42</f>
        <v/>
      </c>
      <c r="B42">
        <f>IF('Business details'!$B$4="","",IF(INDEX(Directories!$H42:$V42,MATCH('Business details'!$B$4,Directories!$H$1:$V$1,0))="Yes","Yes","No"))</f>
        <v/>
      </c>
      <c r="C42">
        <f>IF(B42="","",IF(B42="Yes","Every month","Every 3 months"))</f>
        <v/>
      </c>
      <c r="H42" s="7" t="n"/>
      <c r="I42" s="7" t="n"/>
    </row>
    <row r="43">
      <c r="A43">
        <f>Directories!A43</f>
        <v/>
      </c>
      <c r="B43">
        <f>IF('Business details'!$B$4="","",IF(INDEX(Directories!$H43:$V43,MATCH('Business details'!$B$4,Directories!$H$1:$V$1,0))="Yes","Yes","No"))</f>
        <v/>
      </c>
      <c r="C43">
        <f>IF(B43="","",IF(B43="Yes","Every month","Every 3 months"))</f>
        <v/>
      </c>
      <c r="H43" s="7" t="n"/>
      <c r="I43" s="7" t="n"/>
    </row>
    <row r="44">
      <c r="A44">
        <f>Directories!A44</f>
        <v/>
      </c>
      <c r="B44">
        <f>IF('Business details'!$B$4="","",IF(INDEX(Directories!$H44:$V44,MATCH('Business details'!$B$4,Directories!$H$1:$V$1,0))="Yes","Yes","No"))</f>
        <v/>
      </c>
      <c r="C44">
        <f>IF(B44="","",IF(B44="Yes","Every month","Every 3 months"))</f>
        <v/>
      </c>
      <c r="H44" s="7" t="n"/>
      <c r="I44" s="7" t="n"/>
    </row>
    <row r="45">
      <c r="A45">
        <f>Directories!A45</f>
        <v/>
      </c>
      <c r="B45">
        <f>IF('Business details'!$B$4="","",IF(INDEX(Directories!$H45:$V45,MATCH('Business details'!$B$4,Directories!$H$1:$V$1,0))="Yes","Yes","No"))</f>
        <v/>
      </c>
      <c r="C45">
        <f>IF(B45="","",IF(B45="Yes","Every month","Every 3 months"))</f>
        <v/>
      </c>
      <c r="H45" s="7" t="n"/>
      <c r="I45" s="7" t="n"/>
    </row>
    <row r="46">
      <c r="A46">
        <f>Directories!A46</f>
        <v/>
      </c>
      <c r="B46">
        <f>IF('Business details'!$B$4="","",IF(INDEX(Directories!$H46:$V46,MATCH('Business details'!$B$4,Directories!$H$1:$V$1,0))="Yes","Yes","No"))</f>
        <v/>
      </c>
      <c r="C46">
        <f>IF(B46="","",IF(B46="Yes","Every month","Every 3 months"))</f>
        <v/>
      </c>
      <c r="H46" s="7" t="n"/>
      <c r="I46" s="7" t="n"/>
    </row>
    <row r="47">
      <c r="A47">
        <f>Directories!A47</f>
        <v/>
      </c>
      <c r="B47">
        <f>IF('Business details'!$B$4="","",IF(INDEX(Directories!$H47:$V47,MATCH('Business details'!$B$4,Directories!$H$1:$V$1,0))="Yes","Yes","No"))</f>
        <v/>
      </c>
      <c r="C47">
        <f>IF(B47="","",IF(B47="Yes","Every month","Every 3 months"))</f>
        <v/>
      </c>
      <c r="H47" s="7" t="n"/>
      <c r="I47" s="7" t="n"/>
    </row>
    <row r="48">
      <c r="A48">
        <f>Directories!A48</f>
        <v/>
      </c>
      <c r="B48">
        <f>IF('Business details'!$B$4="","",IF(INDEX(Directories!$H48:$V48,MATCH('Business details'!$B$4,Directories!$H$1:$V$1,0))="Yes","Yes","No"))</f>
        <v/>
      </c>
      <c r="C48">
        <f>IF(B48="","",IF(B48="Yes","Every month","Every 3 months"))</f>
        <v/>
      </c>
      <c r="H48" s="7" t="n"/>
      <c r="I48" s="7" t="n"/>
    </row>
    <row r="49">
      <c r="A49">
        <f>Directories!A49</f>
        <v/>
      </c>
      <c r="B49">
        <f>IF('Business details'!$B$4="","",IF(INDEX(Directories!$H49:$V49,MATCH('Business details'!$B$4,Directories!$H$1:$V$1,0))="Yes","Yes","No"))</f>
        <v/>
      </c>
      <c r="C49">
        <f>IF(B49="","",IF(B49="Yes","Every month","Every 3 months"))</f>
        <v/>
      </c>
      <c r="H49" s="7" t="n"/>
      <c r="I49" s="7" t="n"/>
    </row>
    <row r="50">
      <c r="A50">
        <f>Directories!A50</f>
        <v/>
      </c>
      <c r="B50">
        <f>IF('Business details'!$B$4="","",IF(INDEX(Directories!$H50:$V50,MATCH('Business details'!$B$4,Directories!$H$1:$V$1,0))="Yes","Yes","No"))</f>
        <v/>
      </c>
      <c r="C50">
        <f>IF(B50="","",IF(B50="Yes","Every month","Every 3 months"))</f>
        <v/>
      </c>
      <c r="H50" s="7" t="n"/>
      <c r="I50" s="7" t="n"/>
    </row>
  </sheetData>
  <conditionalFormatting sqref="A2:A50">
    <cfRule type="expression" priority="1" dxfId="0">
      <formula>$B2="Yes"</formula>
    </cfRule>
  </conditionalFormatting>
  <dataValidations count="2">
    <dataValidation sqref="D2:D50" showDropDown="0" showInputMessage="0" showErrorMessage="0" allowBlank="1" type="list">
      <formula1>"Correct,Wrong,Missing,Not checked"</formula1>
    </dataValidation>
    <dataValidation sqref="G2:G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11" customWidth="1" min="4" max="4"/>
    <col width="50" customWidth="1" min="5" max="5"/>
    <col width="16" customWidth="1" min="6" max="6"/>
    <col width="12" customWidth="1" min="7" max="7"/>
    <col width="13" customWidth="1" min="8" max="8"/>
    <col width="30" customWidth="1" min="9" max="9"/>
  </cols>
  <sheetData>
    <row r="1" ht="36" customHeight="1">
      <c r="A1" s="3" t="inlineStr">
        <is>
          <t>Found on</t>
        </is>
      </c>
      <c r="B1" s="3" t="inlineStr">
        <is>
          <t>Area</t>
        </is>
      </c>
      <c r="C1" s="3" t="inlineStr">
        <is>
          <t>Problem</t>
        </is>
      </c>
      <c r="D1" s="3" t="inlineStr">
        <is>
          <t>Priority</t>
        </is>
      </c>
      <c r="E1" s="3" t="inlineStr">
        <is>
          <t>How to fix (one sentence)</t>
        </is>
      </c>
      <c r="F1" s="3" t="inlineStr">
        <is>
          <t>Who fixes it</t>
        </is>
      </c>
      <c r="G1" s="3" t="inlineStr">
        <is>
          <t>Status</t>
        </is>
      </c>
      <c r="H1" s="3" t="inlineStr">
        <is>
          <t>Fixed on</t>
        </is>
      </c>
      <c r="I1" s="3" t="inlineStr">
        <is>
          <t>Notes</t>
        </is>
      </c>
    </row>
    <row r="2">
      <c r="A2" s="7" t="n"/>
      <c r="H2" s="7" t="n"/>
    </row>
    <row r="3">
      <c r="A3" s="7" t="n"/>
      <c r="H3" s="7" t="n"/>
    </row>
    <row r="4">
      <c r="A4" s="7" t="n"/>
      <c r="H4" s="7" t="n"/>
    </row>
    <row r="5">
      <c r="A5" s="7" t="n"/>
      <c r="H5" s="7" t="n"/>
    </row>
    <row r="6">
      <c r="A6" s="7" t="n"/>
      <c r="H6" s="7" t="n"/>
    </row>
    <row r="7">
      <c r="A7" s="7" t="n"/>
      <c r="H7" s="7" t="n"/>
    </row>
    <row r="8">
      <c r="A8" s="7" t="n"/>
      <c r="H8" s="7" t="n"/>
    </row>
    <row r="9">
      <c r="A9" s="7" t="n"/>
      <c r="H9" s="7" t="n"/>
    </row>
    <row r="10">
      <c r="A10" s="7" t="n"/>
      <c r="H10" s="7" t="n"/>
    </row>
    <row r="11">
      <c r="A11" s="7" t="n"/>
      <c r="H11" s="7" t="n"/>
    </row>
    <row r="12">
      <c r="A12" s="7" t="n"/>
      <c r="H12" s="7" t="n"/>
    </row>
    <row r="13">
      <c r="A13" s="7" t="n"/>
      <c r="H13" s="7" t="n"/>
    </row>
    <row r="14">
      <c r="A14" s="7" t="n"/>
      <c r="H14" s="7" t="n"/>
    </row>
    <row r="15">
      <c r="A15" s="7" t="n"/>
      <c r="H15" s="7" t="n"/>
    </row>
    <row r="16">
      <c r="A16" s="7" t="n"/>
      <c r="H16" s="7" t="n"/>
    </row>
    <row r="17">
      <c r="A17" s="7" t="n"/>
      <c r="H17" s="7" t="n"/>
    </row>
    <row r="18">
      <c r="A18" s="7" t="n"/>
      <c r="H18" s="7" t="n"/>
    </row>
    <row r="19">
      <c r="A19" s="7" t="n"/>
      <c r="H19" s="7" t="n"/>
    </row>
    <row r="20">
      <c r="A20" s="7" t="n"/>
      <c r="H20" s="7" t="n"/>
    </row>
    <row r="21">
      <c r="A21" s="7" t="n"/>
      <c r="H21" s="7" t="n"/>
    </row>
    <row r="22">
      <c r="A22" s="7" t="n"/>
      <c r="H22" s="7" t="n"/>
    </row>
    <row r="23">
      <c r="A23" s="7" t="n"/>
      <c r="H23" s="7" t="n"/>
    </row>
    <row r="24">
      <c r="A24" s="7" t="n"/>
      <c r="H24" s="7" t="n"/>
    </row>
    <row r="25">
      <c r="A25" s="7" t="n"/>
      <c r="H25" s="7" t="n"/>
    </row>
    <row r="26">
      <c r="A26" s="7" t="n"/>
      <c r="H26" s="7" t="n"/>
    </row>
    <row r="27">
      <c r="A27" s="7" t="n"/>
      <c r="H27" s="7" t="n"/>
    </row>
    <row r="28">
      <c r="A28" s="7" t="n"/>
      <c r="H28" s="7" t="n"/>
    </row>
    <row r="29">
      <c r="A29" s="7" t="n"/>
      <c r="H29" s="7" t="n"/>
    </row>
    <row r="30">
      <c r="A30" s="7" t="n"/>
      <c r="H30" s="7" t="n"/>
    </row>
    <row r="31">
      <c r="A31" s="7" t="n"/>
      <c r="H31" s="7" t="n"/>
    </row>
    <row r="32">
      <c r="A32" s="7" t="n"/>
      <c r="H32" s="7" t="n"/>
    </row>
    <row r="33">
      <c r="A33" s="7" t="n"/>
      <c r="H33" s="7" t="n"/>
    </row>
    <row r="34">
      <c r="A34" s="7" t="n"/>
      <c r="H34" s="7" t="n"/>
    </row>
    <row r="35">
      <c r="A35" s="7" t="n"/>
      <c r="H35" s="7" t="n"/>
    </row>
    <row r="36">
      <c r="A36" s="7" t="n"/>
      <c r="H36" s="7" t="n"/>
    </row>
    <row r="37">
      <c r="A37" s="7" t="n"/>
      <c r="H37" s="7" t="n"/>
    </row>
    <row r="38">
      <c r="A38" s="7" t="n"/>
      <c r="H38" s="7" t="n"/>
    </row>
    <row r="39">
      <c r="A39" s="7" t="n"/>
      <c r="H39" s="7" t="n"/>
    </row>
    <row r="40">
      <c r="A40" s="7" t="n"/>
      <c r="H40" s="7" t="n"/>
    </row>
    <row r="41">
      <c r="A41" s="7" t="n"/>
      <c r="H41" s="7" t="n"/>
    </row>
    <row r="42">
      <c r="A42" s="7" t="n"/>
      <c r="H42" s="7" t="n"/>
    </row>
    <row r="43">
      <c r="A43" s="7" t="n"/>
      <c r="H43" s="7" t="n"/>
    </row>
    <row r="44">
      <c r="A44" s="7" t="n"/>
      <c r="H44" s="7" t="n"/>
    </row>
    <row r="45">
      <c r="A45" s="7" t="n"/>
      <c r="H45" s="7" t="n"/>
    </row>
    <row r="46">
      <c r="A46" s="7" t="n"/>
      <c r="H46" s="7" t="n"/>
    </row>
    <row r="47">
      <c r="A47" s="7" t="n"/>
      <c r="H47" s="7" t="n"/>
    </row>
    <row r="48">
      <c r="A48" s="7" t="n"/>
      <c r="H48" s="7" t="n"/>
    </row>
    <row r="49">
      <c r="A49" s="7" t="n"/>
      <c r="H49" s="7" t="n"/>
    </row>
    <row r="50">
      <c r="A50" s="7" t="n"/>
      <c r="H50" s="7" t="n"/>
    </row>
    <row r="51">
      <c r="A51" s="7" t="n"/>
      <c r="H51" s="7" t="n"/>
    </row>
    <row r="52">
      <c r="A52" s="7" t="n"/>
      <c r="H52" s="7" t="n"/>
    </row>
    <row r="53">
      <c r="A53" s="7" t="n"/>
      <c r="H53" s="7" t="n"/>
    </row>
    <row r="54">
      <c r="A54" s="7" t="n"/>
      <c r="H54" s="7" t="n"/>
    </row>
    <row r="55">
      <c r="A55" s="7" t="n"/>
      <c r="H55" s="7" t="n"/>
    </row>
    <row r="56">
      <c r="A56" s="7" t="n"/>
      <c r="H56" s="7" t="n"/>
    </row>
    <row r="57">
      <c r="A57" s="7" t="n"/>
      <c r="H57" s="7" t="n"/>
    </row>
    <row r="58">
      <c r="A58" s="7" t="n"/>
      <c r="H58" s="7" t="n"/>
    </row>
    <row r="59">
      <c r="A59" s="7" t="n"/>
      <c r="H59" s="7" t="n"/>
    </row>
    <row r="60">
      <c r="A60" s="7" t="n"/>
      <c r="H60" s="7" t="n"/>
    </row>
    <row r="61">
      <c r="A61" s="7" t="n"/>
      <c r="H61" s="7" t="n"/>
    </row>
    <row r="62">
      <c r="A62" s="7" t="n"/>
      <c r="H62" s="7" t="n"/>
    </row>
    <row r="63">
      <c r="A63" s="7" t="n"/>
      <c r="H63" s="7" t="n"/>
    </row>
    <row r="64">
      <c r="A64" s="7" t="n"/>
      <c r="H64" s="7" t="n"/>
    </row>
    <row r="65">
      <c r="A65" s="7" t="n"/>
      <c r="H65" s="7" t="n"/>
    </row>
    <row r="66">
      <c r="A66" s="7" t="n"/>
      <c r="H66" s="7" t="n"/>
    </row>
    <row r="67">
      <c r="A67" s="7" t="n"/>
      <c r="H67" s="7" t="n"/>
    </row>
    <row r="68">
      <c r="A68" s="7" t="n"/>
      <c r="H68" s="7" t="n"/>
    </row>
    <row r="69">
      <c r="A69" s="7" t="n"/>
      <c r="H69" s="7" t="n"/>
    </row>
    <row r="70">
      <c r="A70" s="7" t="n"/>
      <c r="H70" s="7" t="n"/>
    </row>
    <row r="71">
      <c r="A71" s="7" t="n"/>
      <c r="H71" s="7" t="n"/>
    </row>
    <row r="72">
      <c r="A72" s="7" t="n"/>
      <c r="H72" s="7" t="n"/>
    </row>
    <row r="73">
      <c r="A73" s="7" t="n"/>
      <c r="H73" s="7" t="n"/>
    </row>
    <row r="74">
      <c r="A74" s="7" t="n"/>
      <c r="H74" s="7" t="n"/>
    </row>
    <row r="75">
      <c r="A75" s="7" t="n"/>
      <c r="H75" s="7" t="n"/>
    </row>
    <row r="76">
      <c r="A76" s="7" t="n"/>
      <c r="H76" s="7" t="n"/>
    </row>
    <row r="77">
      <c r="A77" s="7" t="n"/>
      <c r="H77" s="7" t="n"/>
    </row>
    <row r="78">
      <c r="A78" s="7" t="n"/>
      <c r="H78" s="7" t="n"/>
    </row>
    <row r="79">
      <c r="A79" s="7" t="n"/>
      <c r="H79" s="7" t="n"/>
    </row>
    <row r="80">
      <c r="A80" s="7" t="n"/>
      <c r="H80" s="7" t="n"/>
    </row>
    <row r="81">
      <c r="A81" s="7" t="n"/>
      <c r="H81" s="7" t="n"/>
    </row>
    <row r="82">
      <c r="A82" s="7" t="n"/>
      <c r="H82" s="7" t="n"/>
    </row>
    <row r="83">
      <c r="A83" s="7" t="n"/>
      <c r="H83" s="7" t="n"/>
    </row>
    <row r="84">
      <c r="A84" s="7" t="n"/>
      <c r="H84" s="7" t="n"/>
    </row>
    <row r="85">
      <c r="A85" s="7" t="n"/>
      <c r="H85" s="7" t="n"/>
    </row>
    <row r="86">
      <c r="A86" s="7" t="n"/>
      <c r="H86" s="7" t="n"/>
    </row>
    <row r="87">
      <c r="A87" s="7" t="n"/>
      <c r="H87" s="7" t="n"/>
    </row>
    <row r="88">
      <c r="A88" s="7" t="n"/>
      <c r="H88" s="7" t="n"/>
    </row>
    <row r="89">
      <c r="A89" s="7" t="n"/>
      <c r="H89" s="7" t="n"/>
    </row>
    <row r="90">
      <c r="A90" s="7" t="n"/>
      <c r="H90" s="7" t="n"/>
    </row>
    <row r="91">
      <c r="A91" s="7" t="n"/>
      <c r="H91" s="7" t="n"/>
    </row>
    <row r="92">
      <c r="A92" s="7" t="n"/>
      <c r="H92" s="7" t="n"/>
    </row>
    <row r="93">
      <c r="A93" s="7" t="n"/>
      <c r="H93" s="7" t="n"/>
    </row>
    <row r="94">
      <c r="A94" s="7" t="n"/>
      <c r="H94" s="7" t="n"/>
    </row>
    <row r="95">
      <c r="A95" s="7" t="n"/>
      <c r="H95" s="7" t="n"/>
    </row>
    <row r="96">
      <c r="A96" s="7" t="n"/>
      <c r="H96" s="7" t="n"/>
    </row>
    <row r="97">
      <c r="A97" s="7" t="n"/>
      <c r="H97" s="7" t="n"/>
    </row>
    <row r="98">
      <c r="A98" s="7" t="n"/>
      <c r="H98" s="7" t="n"/>
    </row>
    <row r="99">
      <c r="A99" s="7" t="n"/>
      <c r="H99" s="7" t="n"/>
    </row>
    <row r="100">
      <c r="A100" s="7" t="n"/>
      <c r="H100" s="7" t="n"/>
    </row>
    <row r="101">
      <c r="A101" s="7" t="n"/>
      <c r="H101" s="7" t="n"/>
    </row>
    <row r="102">
      <c r="A102" s="7" t="n"/>
      <c r="H102" s="7" t="n"/>
    </row>
    <row r="103">
      <c r="A103" s="7" t="n"/>
      <c r="H103" s="7" t="n"/>
    </row>
    <row r="104">
      <c r="A104" s="7" t="n"/>
      <c r="H104" s="7" t="n"/>
    </row>
    <row r="105">
      <c r="A105" s="7" t="n"/>
      <c r="H105" s="7" t="n"/>
    </row>
    <row r="106">
      <c r="A106" s="7" t="n"/>
      <c r="H106" s="7" t="n"/>
    </row>
    <row r="107">
      <c r="A107" s="7" t="n"/>
      <c r="H107" s="7" t="n"/>
    </row>
    <row r="108">
      <c r="A108" s="7" t="n"/>
      <c r="H108" s="7" t="n"/>
    </row>
    <row r="109">
      <c r="A109" s="7" t="n"/>
      <c r="H109" s="7" t="n"/>
    </row>
    <row r="110">
      <c r="A110" s="7" t="n"/>
      <c r="H110" s="7" t="n"/>
    </row>
    <row r="111">
      <c r="A111" s="7" t="n"/>
      <c r="H111" s="7" t="n"/>
    </row>
    <row r="112">
      <c r="A112" s="7" t="n"/>
      <c r="H112" s="7" t="n"/>
    </row>
    <row r="113">
      <c r="A113" s="7" t="n"/>
      <c r="H113" s="7" t="n"/>
    </row>
    <row r="114">
      <c r="A114" s="7" t="n"/>
      <c r="H114" s="7" t="n"/>
    </row>
    <row r="115">
      <c r="A115" s="7" t="n"/>
      <c r="H115" s="7" t="n"/>
    </row>
    <row r="116">
      <c r="A116" s="7" t="n"/>
      <c r="H116" s="7" t="n"/>
    </row>
    <row r="117">
      <c r="A117" s="7" t="n"/>
      <c r="H117" s="7" t="n"/>
    </row>
    <row r="118">
      <c r="A118" s="7" t="n"/>
      <c r="H118" s="7" t="n"/>
    </row>
    <row r="119">
      <c r="A119" s="7" t="n"/>
      <c r="H119" s="7" t="n"/>
    </row>
    <row r="120">
      <c r="A120" s="7" t="n"/>
      <c r="H120" s="7" t="n"/>
    </row>
    <row r="121">
      <c r="A121" s="7" t="n"/>
      <c r="H121" s="7" t="n"/>
    </row>
    <row r="122">
      <c r="A122" s="7" t="n"/>
      <c r="H122" s="7" t="n"/>
    </row>
    <row r="123">
      <c r="A123" s="7" t="n"/>
      <c r="H123" s="7" t="n"/>
    </row>
    <row r="124">
      <c r="A124" s="7" t="n"/>
      <c r="H124" s="7" t="n"/>
    </row>
    <row r="125">
      <c r="A125" s="7" t="n"/>
      <c r="H125" s="7" t="n"/>
    </row>
    <row r="126">
      <c r="A126" s="7" t="n"/>
      <c r="H126" s="7" t="n"/>
    </row>
    <row r="127">
      <c r="A127" s="7" t="n"/>
      <c r="H127" s="7" t="n"/>
    </row>
    <row r="128">
      <c r="A128" s="7" t="n"/>
      <c r="H128" s="7" t="n"/>
    </row>
    <row r="129">
      <c r="A129" s="7" t="n"/>
      <c r="H129" s="7" t="n"/>
    </row>
    <row r="130">
      <c r="A130" s="7" t="n"/>
      <c r="H130" s="7" t="n"/>
    </row>
    <row r="131">
      <c r="A131" s="7" t="n"/>
      <c r="H131" s="7" t="n"/>
    </row>
    <row r="132">
      <c r="A132" s="7" t="n"/>
      <c r="H132" s="7" t="n"/>
    </row>
    <row r="133">
      <c r="A133" s="7" t="n"/>
      <c r="H133" s="7" t="n"/>
    </row>
    <row r="134">
      <c r="A134" s="7" t="n"/>
      <c r="H134" s="7" t="n"/>
    </row>
    <row r="135">
      <c r="A135" s="7" t="n"/>
      <c r="H135" s="7" t="n"/>
    </row>
    <row r="136">
      <c r="A136" s="7" t="n"/>
      <c r="H136" s="7" t="n"/>
    </row>
    <row r="137">
      <c r="A137" s="7" t="n"/>
      <c r="H137" s="7" t="n"/>
    </row>
    <row r="138">
      <c r="A138" s="7" t="n"/>
      <c r="H138" s="7" t="n"/>
    </row>
    <row r="139">
      <c r="A139" s="7" t="n"/>
      <c r="H139" s="7" t="n"/>
    </row>
    <row r="140">
      <c r="A140" s="7" t="n"/>
      <c r="H140" s="7" t="n"/>
    </row>
    <row r="141">
      <c r="A141" s="7" t="n"/>
      <c r="H141" s="7" t="n"/>
    </row>
    <row r="142">
      <c r="A142" s="7" t="n"/>
      <c r="H142" s="7" t="n"/>
    </row>
    <row r="143">
      <c r="A143" s="7" t="n"/>
      <c r="H143" s="7" t="n"/>
    </row>
    <row r="144">
      <c r="A144" s="7" t="n"/>
      <c r="H144" s="7" t="n"/>
    </row>
    <row r="145">
      <c r="A145" s="7" t="n"/>
      <c r="H145" s="7" t="n"/>
    </row>
    <row r="146">
      <c r="A146" s="7" t="n"/>
      <c r="H146" s="7" t="n"/>
    </row>
    <row r="147">
      <c r="A147" s="7" t="n"/>
      <c r="H147" s="7" t="n"/>
    </row>
    <row r="148">
      <c r="A148" s="7" t="n"/>
      <c r="H148" s="7" t="n"/>
    </row>
    <row r="149">
      <c r="A149" s="7" t="n"/>
      <c r="H149" s="7" t="n"/>
    </row>
    <row r="150">
      <c r="A150" s="7" t="n"/>
      <c r="H150" s="7" t="n"/>
    </row>
    <row r="151">
      <c r="A151" s="7" t="n"/>
      <c r="H151" s="7" t="n"/>
    </row>
    <row r="152">
      <c r="A152" s="7" t="n"/>
      <c r="H152" s="7" t="n"/>
    </row>
    <row r="153">
      <c r="A153" s="7" t="n"/>
      <c r="H153" s="7" t="n"/>
    </row>
    <row r="154">
      <c r="A154" s="7" t="n"/>
      <c r="H154" s="7" t="n"/>
    </row>
    <row r="155">
      <c r="A155" s="7" t="n"/>
      <c r="H155" s="7" t="n"/>
    </row>
    <row r="156">
      <c r="A156" s="7" t="n"/>
      <c r="H156" s="7" t="n"/>
    </row>
    <row r="157">
      <c r="A157" s="7" t="n"/>
      <c r="H157" s="7" t="n"/>
    </row>
    <row r="158">
      <c r="A158" s="7" t="n"/>
      <c r="H158" s="7" t="n"/>
    </row>
    <row r="159">
      <c r="A159" s="7" t="n"/>
      <c r="H159" s="7" t="n"/>
    </row>
    <row r="160">
      <c r="A160" s="7" t="n"/>
      <c r="H160" s="7" t="n"/>
    </row>
    <row r="161">
      <c r="A161" s="7" t="n"/>
      <c r="H161" s="7" t="n"/>
    </row>
    <row r="162">
      <c r="A162" s="7" t="n"/>
      <c r="H162" s="7" t="n"/>
    </row>
    <row r="163">
      <c r="A163" s="7" t="n"/>
      <c r="H163" s="7" t="n"/>
    </row>
    <row r="164">
      <c r="A164" s="7" t="n"/>
      <c r="H164" s="7" t="n"/>
    </row>
    <row r="165">
      <c r="A165" s="7" t="n"/>
      <c r="H165" s="7" t="n"/>
    </row>
    <row r="166">
      <c r="A166" s="7" t="n"/>
      <c r="H166" s="7" t="n"/>
    </row>
    <row r="167">
      <c r="A167" s="7" t="n"/>
      <c r="H167" s="7" t="n"/>
    </row>
    <row r="168">
      <c r="A168" s="7" t="n"/>
      <c r="H168" s="7" t="n"/>
    </row>
    <row r="169">
      <c r="A169" s="7" t="n"/>
      <c r="H169" s="7" t="n"/>
    </row>
    <row r="170">
      <c r="A170" s="7" t="n"/>
      <c r="H170" s="7" t="n"/>
    </row>
    <row r="171">
      <c r="A171" s="7" t="n"/>
      <c r="H171" s="7" t="n"/>
    </row>
    <row r="172">
      <c r="A172" s="7" t="n"/>
      <c r="H172" s="7" t="n"/>
    </row>
    <row r="173">
      <c r="A173" s="7" t="n"/>
      <c r="H173" s="7" t="n"/>
    </row>
    <row r="174">
      <c r="A174" s="7" t="n"/>
      <c r="H174" s="7" t="n"/>
    </row>
    <row r="175">
      <c r="A175" s="7" t="n"/>
      <c r="H175" s="7" t="n"/>
    </row>
    <row r="176">
      <c r="A176" s="7" t="n"/>
      <c r="H176" s="7" t="n"/>
    </row>
    <row r="177">
      <c r="A177" s="7" t="n"/>
      <c r="H177" s="7" t="n"/>
    </row>
    <row r="178">
      <c r="A178" s="7" t="n"/>
      <c r="H178" s="7" t="n"/>
    </row>
    <row r="179">
      <c r="A179" s="7" t="n"/>
      <c r="H179" s="7" t="n"/>
    </row>
    <row r="180">
      <c r="A180" s="7" t="n"/>
      <c r="H180" s="7" t="n"/>
    </row>
    <row r="181">
      <c r="A181" s="7" t="n"/>
      <c r="H181" s="7" t="n"/>
    </row>
    <row r="182">
      <c r="A182" s="7" t="n"/>
      <c r="H182" s="7" t="n"/>
    </row>
    <row r="183">
      <c r="A183" s="7" t="n"/>
      <c r="H183" s="7" t="n"/>
    </row>
    <row r="184">
      <c r="A184" s="7" t="n"/>
      <c r="H184" s="7" t="n"/>
    </row>
    <row r="185">
      <c r="A185" s="7" t="n"/>
      <c r="H185" s="7" t="n"/>
    </row>
    <row r="186">
      <c r="A186" s="7" t="n"/>
      <c r="H186" s="7" t="n"/>
    </row>
    <row r="187">
      <c r="A187" s="7" t="n"/>
      <c r="H187" s="7" t="n"/>
    </row>
    <row r="188">
      <c r="A188" s="7" t="n"/>
      <c r="H188" s="7" t="n"/>
    </row>
    <row r="189">
      <c r="A189" s="7" t="n"/>
      <c r="H189" s="7" t="n"/>
    </row>
    <row r="190">
      <c r="A190" s="7" t="n"/>
      <c r="H190" s="7" t="n"/>
    </row>
    <row r="191">
      <c r="A191" s="7" t="n"/>
      <c r="H191" s="7" t="n"/>
    </row>
    <row r="192">
      <c r="A192" s="7" t="n"/>
      <c r="H192" s="7" t="n"/>
    </row>
    <row r="193">
      <c r="A193" s="7" t="n"/>
      <c r="H193" s="7" t="n"/>
    </row>
    <row r="194">
      <c r="A194" s="7" t="n"/>
      <c r="H194" s="7" t="n"/>
    </row>
    <row r="195">
      <c r="A195" s="7" t="n"/>
      <c r="H195" s="7" t="n"/>
    </row>
    <row r="196">
      <c r="A196" s="7" t="n"/>
      <c r="H196" s="7" t="n"/>
    </row>
    <row r="197">
      <c r="A197" s="7" t="n"/>
      <c r="H197" s="7" t="n"/>
    </row>
    <row r="198">
      <c r="A198" s="7" t="n"/>
      <c r="H198" s="7" t="n"/>
    </row>
    <row r="199">
      <c r="A199" s="7" t="n"/>
      <c r="H199" s="7" t="n"/>
    </row>
    <row r="200">
      <c r="A200" s="7" t="n"/>
      <c r="H200" s="7" t="n"/>
    </row>
    <row r="201">
      <c r="A201" s="7" t="n"/>
      <c r="H201" s="7" t="n"/>
    </row>
    <row r="202">
      <c r="A202" s="7" t="n"/>
      <c r="H202" s="7" t="n"/>
    </row>
    <row r="203">
      <c r="A203" s="7" t="n"/>
      <c r="H203" s="7" t="n"/>
    </row>
    <row r="204">
      <c r="A204" s="7" t="n"/>
      <c r="H204" s="7" t="n"/>
    </row>
    <row r="205">
      <c r="A205" s="7" t="n"/>
      <c r="H205" s="7" t="n"/>
    </row>
    <row r="206">
      <c r="A206" s="7" t="n"/>
      <c r="H206" s="7" t="n"/>
    </row>
    <row r="207">
      <c r="A207" s="7" t="n"/>
      <c r="H207" s="7" t="n"/>
    </row>
    <row r="208">
      <c r="A208" s="7" t="n"/>
      <c r="H208" s="7" t="n"/>
    </row>
    <row r="209">
      <c r="A209" s="7" t="n"/>
      <c r="H209" s="7" t="n"/>
    </row>
    <row r="210">
      <c r="A210" s="7" t="n"/>
      <c r="H210" s="7" t="n"/>
    </row>
    <row r="211">
      <c r="A211" s="7" t="n"/>
      <c r="H211" s="7" t="n"/>
    </row>
    <row r="212">
      <c r="A212" s="7" t="n"/>
      <c r="H212" s="7" t="n"/>
    </row>
    <row r="213">
      <c r="A213" s="7" t="n"/>
      <c r="H213" s="7" t="n"/>
    </row>
    <row r="214">
      <c r="A214" s="7" t="n"/>
      <c r="H214" s="7" t="n"/>
    </row>
    <row r="215">
      <c r="A215" s="7" t="n"/>
      <c r="H215" s="7" t="n"/>
    </row>
    <row r="216">
      <c r="A216" s="7" t="n"/>
      <c r="H216" s="7" t="n"/>
    </row>
    <row r="217">
      <c r="A217" s="7" t="n"/>
      <c r="H217" s="7" t="n"/>
    </row>
    <row r="218">
      <c r="A218" s="7" t="n"/>
      <c r="H218" s="7" t="n"/>
    </row>
    <row r="219">
      <c r="A219" s="7" t="n"/>
      <c r="H219" s="7" t="n"/>
    </row>
    <row r="220">
      <c r="A220" s="7" t="n"/>
      <c r="H220" s="7" t="n"/>
    </row>
    <row r="221">
      <c r="A221" s="7" t="n"/>
      <c r="H221" s="7" t="n"/>
    </row>
    <row r="222">
      <c r="A222" s="7" t="n"/>
      <c r="H222" s="7" t="n"/>
    </row>
    <row r="223">
      <c r="A223" s="7" t="n"/>
      <c r="H223" s="7" t="n"/>
    </row>
    <row r="224">
      <c r="A224" s="7" t="n"/>
      <c r="H224" s="7" t="n"/>
    </row>
    <row r="225">
      <c r="A225" s="7" t="n"/>
      <c r="H225" s="7" t="n"/>
    </row>
    <row r="226">
      <c r="A226" s="7" t="n"/>
      <c r="H226" s="7" t="n"/>
    </row>
    <row r="227">
      <c r="A227" s="7" t="n"/>
      <c r="H227" s="7" t="n"/>
    </row>
    <row r="228">
      <c r="A228" s="7" t="n"/>
      <c r="H228" s="7" t="n"/>
    </row>
    <row r="229">
      <c r="A229" s="7" t="n"/>
      <c r="H229" s="7" t="n"/>
    </row>
    <row r="230">
      <c r="A230" s="7" t="n"/>
      <c r="H230" s="7" t="n"/>
    </row>
    <row r="231">
      <c r="A231" s="7" t="n"/>
      <c r="H231" s="7" t="n"/>
    </row>
    <row r="232">
      <c r="A232" s="7" t="n"/>
      <c r="H232" s="7" t="n"/>
    </row>
    <row r="233">
      <c r="A233" s="7" t="n"/>
      <c r="H233" s="7" t="n"/>
    </row>
    <row r="234">
      <c r="A234" s="7" t="n"/>
      <c r="H234" s="7" t="n"/>
    </row>
    <row r="235">
      <c r="A235" s="7" t="n"/>
      <c r="H235" s="7" t="n"/>
    </row>
    <row r="236">
      <c r="A236" s="7" t="n"/>
      <c r="H236" s="7" t="n"/>
    </row>
    <row r="237">
      <c r="A237" s="7" t="n"/>
      <c r="H237" s="7" t="n"/>
    </row>
    <row r="238">
      <c r="A238" s="7" t="n"/>
      <c r="H238" s="7" t="n"/>
    </row>
    <row r="239">
      <c r="A239" s="7" t="n"/>
      <c r="H239" s="7" t="n"/>
    </row>
    <row r="240">
      <c r="A240" s="7" t="n"/>
      <c r="H240" s="7" t="n"/>
    </row>
    <row r="241">
      <c r="A241" s="7" t="n"/>
      <c r="H241" s="7" t="n"/>
    </row>
    <row r="242">
      <c r="A242" s="7" t="n"/>
      <c r="H242" s="7" t="n"/>
    </row>
    <row r="243">
      <c r="A243" s="7" t="n"/>
      <c r="H243" s="7" t="n"/>
    </row>
    <row r="244">
      <c r="A244" s="7" t="n"/>
      <c r="H244" s="7" t="n"/>
    </row>
    <row r="245">
      <c r="A245" s="7" t="n"/>
      <c r="H245" s="7" t="n"/>
    </row>
    <row r="246">
      <c r="A246" s="7" t="n"/>
      <c r="H246" s="7" t="n"/>
    </row>
    <row r="247">
      <c r="A247" s="7" t="n"/>
      <c r="H247" s="7" t="n"/>
    </row>
    <row r="248">
      <c r="A248" s="7" t="n"/>
      <c r="H248" s="7" t="n"/>
    </row>
    <row r="249">
      <c r="A249" s="7" t="n"/>
      <c r="H249" s="7" t="n"/>
    </row>
    <row r="250">
      <c r="A250" s="7" t="n"/>
      <c r="H250" s="7" t="n"/>
    </row>
    <row r="251">
      <c r="A251" s="7" t="n"/>
      <c r="H251" s="7" t="n"/>
    </row>
    <row r="252">
      <c r="A252" s="7" t="n"/>
      <c r="H252" s="7" t="n"/>
    </row>
    <row r="253">
      <c r="A253" s="7" t="n"/>
      <c r="H253" s="7" t="n"/>
    </row>
    <row r="254">
      <c r="A254" s="7" t="n"/>
      <c r="H254" s="7" t="n"/>
    </row>
    <row r="255">
      <c r="A255" s="7" t="n"/>
      <c r="H255" s="7" t="n"/>
    </row>
    <row r="256">
      <c r="A256" s="7" t="n"/>
      <c r="H256" s="7" t="n"/>
    </row>
    <row r="257">
      <c r="A257" s="7" t="n"/>
      <c r="H257" s="7" t="n"/>
    </row>
    <row r="258">
      <c r="A258" s="7" t="n"/>
      <c r="H258" s="7" t="n"/>
    </row>
    <row r="259">
      <c r="A259" s="7" t="n"/>
      <c r="H259" s="7" t="n"/>
    </row>
    <row r="260">
      <c r="A260" s="7" t="n"/>
      <c r="H260" s="7" t="n"/>
    </row>
    <row r="261">
      <c r="A261" s="7" t="n"/>
      <c r="H261" s="7" t="n"/>
    </row>
    <row r="262">
      <c r="A262" s="7" t="n"/>
      <c r="H262" s="7" t="n"/>
    </row>
    <row r="263">
      <c r="A263" s="7" t="n"/>
      <c r="H263" s="7" t="n"/>
    </row>
    <row r="264">
      <c r="A264" s="7" t="n"/>
      <c r="H264" s="7" t="n"/>
    </row>
    <row r="265">
      <c r="A265" s="7" t="n"/>
      <c r="H265" s="7" t="n"/>
    </row>
    <row r="266">
      <c r="A266" s="7" t="n"/>
      <c r="H266" s="7" t="n"/>
    </row>
    <row r="267">
      <c r="A267" s="7" t="n"/>
      <c r="H267" s="7" t="n"/>
    </row>
    <row r="268">
      <c r="A268" s="7" t="n"/>
      <c r="H268" s="7" t="n"/>
    </row>
    <row r="269">
      <c r="A269" s="7" t="n"/>
      <c r="H269" s="7" t="n"/>
    </row>
    <row r="270">
      <c r="A270" s="7" t="n"/>
      <c r="H270" s="7" t="n"/>
    </row>
    <row r="271">
      <c r="A271" s="7" t="n"/>
      <c r="H271" s="7" t="n"/>
    </row>
    <row r="272">
      <c r="A272" s="7" t="n"/>
      <c r="H272" s="7" t="n"/>
    </row>
    <row r="273">
      <c r="A273" s="7" t="n"/>
      <c r="H273" s="7" t="n"/>
    </row>
    <row r="274">
      <c r="A274" s="7" t="n"/>
      <c r="H274" s="7" t="n"/>
    </row>
    <row r="275">
      <c r="A275" s="7" t="n"/>
      <c r="H275" s="7" t="n"/>
    </row>
    <row r="276">
      <c r="A276" s="7" t="n"/>
      <c r="H276" s="7" t="n"/>
    </row>
    <row r="277">
      <c r="A277" s="7" t="n"/>
      <c r="H277" s="7" t="n"/>
    </row>
    <row r="278">
      <c r="A278" s="7" t="n"/>
      <c r="H278" s="7" t="n"/>
    </row>
    <row r="279">
      <c r="A279" s="7" t="n"/>
      <c r="H279" s="7" t="n"/>
    </row>
    <row r="280">
      <c r="A280" s="7" t="n"/>
      <c r="H280" s="7" t="n"/>
    </row>
    <row r="281">
      <c r="A281" s="7" t="n"/>
      <c r="H281" s="7" t="n"/>
    </row>
    <row r="282">
      <c r="A282" s="7" t="n"/>
      <c r="H282" s="7" t="n"/>
    </row>
    <row r="283">
      <c r="A283" s="7" t="n"/>
      <c r="H283" s="7" t="n"/>
    </row>
    <row r="284">
      <c r="A284" s="7" t="n"/>
      <c r="H284" s="7" t="n"/>
    </row>
    <row r="285">
      <c r="A285" s="7" t="n"/>
      <c r="H285" s="7" t="n"/>
    </row>
    <row r="286">
      <c r="A286" s="7" t="n"/>
      <c r="H286" s="7" t="n"/>
    </row>
    <row r="287">
      <c r="A287" s="7" t="n"/>
      <c r="H287" s="7" t="n"/>
    </row>
    <row r="288">
      <c r="A288" s="7" t="n"/>
      <c r="H288" s="7" t="n"/>
    </row>
    <row r="289">
      <c r="A289" s="7" t="n"/>
      <c r="H289" s="7" t="n"/>
    </row>
    <row r="290">
      <c r="A290" s="7" t="n"/>
      <c r="H290" s="7" t="n"/>
    </row>
    <row r="291">
      <c r="A291" s="7" t="n"/>
      <c r="H291" s="7" t="n"/>
    </row>
    <row r="292">
      <c r="A292" s="7" t="n"/>
      <c r="H292" s="7" t="n"/>
    </row>
    <row r="293">
      <c r="A293" s="7" t="n"/>
      <c r="H293" s="7" t="n"/>
    </row>
    <row r="294">
      <c r="A294" s="7" t="n"/>
      <c r="H294" s="7" t="n"/>
    </row>
    <row r="295">
      <c r="A295" s="7" t="n"/>
      <c r="H295" s="7" t="n"/>
    </row>
    <row r="296">
      <c r="A296" s="7" t="n"/>
      <c r="H296" s="7" t="n"/>
    </row>
    <row r="297">
      <c r="A297" s="7" t="n"/>
      <c r="H297" s="7" t="n"/>
    </row>
    <row r="298">
      <c r="A298" s="7" t="n"/>
      <c r="H298" s="7" t="n"/>
    </row>
    <row r="299">
      <c r="A299" s="7" t="n"/>
      <c r="H299" s="7" t="n"/>
    </row>
    <row r="300">
      <c r="A300" s="7" t="n"/>
      <c r="H300" s="7" t="n"/>
    </row>
    <row r="301">
      <c r="A301" s="7" t="n"/>
      <c r="H301" s="7" t="n"/>
    </row>
    <row r="302">
      <c r="A302" s="7" t="n"/>
      <c r="H302" s="7" t="n"/>
    </row>
    <row r="303">
      <c r="A303" s="7" t="n"/>
      <c r="H303" s="7" t="n"/>
    </row>
    <row r="304">
      <c r="A304" s="7" t="n"/>
      <c r="H304" s="7" t="n"/>
    </row>
    <row r="305">
      <c r="A305" s="7" t="n"/>
      <c r="H305" s="7" t="n"/>
    </row>
    <row r="306">
      <c r="A306" s="7" t="n"/>
      <c r="H306" s="7" t="n"/>
    </row>
    <row r="307">
      <c r="A307" s="7" t="n"/>
      <c r="H307" s="7" t="n"/>
    </row>
    <row r="308">
      <c r="A308" s="7" t="n"/>
      <c r="H308" s="7" t="n"/>
    </row>
    <row r="309">
      <c r="A309" s="7" t="n"/>
      <c r="H309" s="7" t="n"/>
    </row>
    <row r="310">
      <c r="A310" s="7" t="n"/>
      <c r="H310" s="7" t="n"/>
    </row>
    <row r="311">
      <c r="A311" s="7" t="n"/>
      <c r="H311" s="7" t="n"/>
    </row>
    <row r="312">
      <c r="A312" s="7" t="n"/>
      <c r="H312" s="7" t="n"/>
    </row>
    <row r="313">
      <c r="A313" s="7" t="n"/>
      <c r="H313" s="7" t="n"/>
    </row>
    <row r="314">
      <c r="A314" s="7" t="n"/>
      <c r="H314" s="7" t="n"/>
    </row>
    <row r="315">
      <c r="A315" s="7" t="n"/>
      <c r="H315" s="7" t="n"/>
    </row>
    <row r="316">
      <c r="A316" s="7" t="n"/>
      <c r="H316" s="7" t="n"/>
    </row>
    <row r="317">
      <c r="A317" s="7" t="n"/>
      <c r="H317" s="7" t="n"/>
    </row>
    <row r="318">
      <c r="A318" s="7" t="n"/>
      <c r="H318" s="7" t="n"/>
    </row>
    <row r="319">
      <c r="A319" s="7" t="n"/>
      <c r="H319" s="7" t="n"/>
    </row>
    <row r="320">
      <c r="A320" s="7" t="n"/>
      <c r="H320" s="7" t="n"/>
    </row>
    <row r="321">
      <c r="A321" s="7" t="n"/>
      <c r="H321" s="7" t="n"/>
    </row>
    <row r="322">
      <c r="A322" s="7" t="n"/>
      <c r="H322" s="7" t="n"/>
    </row>
    <row r="323">
      <c r="A323" s="7" t="n"/>
      <c r="H323" s="7" t="n"/>
    </row>
    <row r="324">
      <c r="A324" s="7" t="n"/>
      <c r="H324" s="7" t="n"/>
    </row>
    <row r="325">
      <c r="A325" s="7" t="n"/>
      <c r="H325" s="7" t="n"/>
    </row>
    <row r="326">
      <c r="A326" s="7" t="n"/>
      <c r="H326" s="7" t="n"/>
    </row>
    <row r="327">
      <c r="A327" s="7" t="n"/>
      <c r="H327" s="7" t="n"/>
    </row>
    <row r="328">
      <c r="A328" s="7" t="n"/>
      <c r="H328" s="7" t="n"/>
    </row>
    <row r="329">
      <c r="A329" s="7" t="n"/>
      <c r="H329" s="7" t="n"/>
    </row>
    <row r="330">
      <c r="A330" s="7" t="n"/>
      <c r="H330" s="7" t="n"/>
    </row>
    <row r="331">
      <c r="A331" s="7" t="n"/>
      <c r="H331" s="7" t="n"/>
    </row>
    <row r="332">
      <c r="A332" s="7" t="n"/>
      <c r="H332" s="7" t="n"/>
    </row>
    <row r="333">
      <c r="A333" s="7" t="n"/>
      <c r="H333" s="7" t="n"/>
    </row>
    <row r="334">
      <c r="A334" s="7" t="n"/>
      <c r="H334" s="7" t="n"/>
    </row>
    <row r="335">
      <c r="A335" s="7" t="n"/>
      <c r="H335" s="7" t="n"/>
    </row>
    <row r="336">
      <c r="A336" s="7" t="n"/>
      <c r="H336" s="7" t="n"/>
    </row>
    <row r="337">
      <c r="A337" s="7" t="n"/>
      <c r="H337" s="7" t="n"/>
    </row>
    <row r="338">
      <c r="A338" s="7" t="n"/>
      <c r="H338" s="7" t="n"/>
    </row>
    <row r="339">
      <c r="A339" s="7" t="n"/>
      <c r="H339" s="7" t="n"/>
    </row>
    <row r="340">
      <c r="A340" s="7" t="n"/>
      <c r="H340" s="7" t="n"/>
    </row>
    <row r="341">
      <c r="A341" s="7" t="n"/>
      <c r="H341" s="7" t="n"/>
    </row>
    <row r="342">
      <c r="A342" s="7" t="n"/>
      <c r="H342" s="7" t="n"/>
    </row>
    <row r="343">
      <c r="A343" s="7" t="n"/>
      <c r="H343" s="7" t="n"/>
    </row>
    <row r="344">
      <c r="A344" s="7" t="n"/>
      <c r="H344" s="7" t="n"/>
    </row>
    <row r="345">
      <c r="A345" s="7" t="n"/>
      <c r="H345" s="7" t="n"/>
    </row>
    <row r="346">
      <c r="A346" s="7" t="n"/>
      <c r="H346" s="7" t="n"/>
    </row>
    <row r="347">
      <c r="A347" s="7" t="n"/>
      <c r="H347" s="7" t="n"/>
    </row>
    <row r="348">
      <c r="A348" s="7" t="n"/>
      <c r="H348" s="7" t="n"/>
    </row>
    <row r="349">
      <c r="A349" s="7" t="n"/>
      <c r="H349" s="7" t="n"/>
    </row>
    <row r="350">
      <c r="A350" s="7" t="n"/>
      <c r="H350" s="7" t="n"/>
    </row>
    <row r="351">
      <c r="A351" s="7" t="n"/>
      <c r="H351" s="7" t="n"/>
    </row>
    <row r="352">
      <c r="A352" s="7" t="n"/>
      <c r="H352" s="7" t="n"/>
    </row>
    <row r="353">
      <c r="A353" s="7" t="n"/>
      <c r="H353" s="7" t="n"/>
    </row>
    <row r="354">
      <c r="A354" s="7" t="n"/>
      <c r="H354" s="7" t="n"/>
    </row>
    <row r="355">
      <c r="A355" s="7" t="n"/>
      <c r="H355" s="7" t="n"/>
    </row>
    <row r="356">
      <c r="A356" s="7" t="n"/>
      <c r="H356" s="7" t="n"/>
    </row>
    <row r="357">
      <c r="A357" s="7" t="n"/>
      <c r="H357" s="7" t="n"/>
    </row>
    <row r="358">
      <c r="A358" s="7" t="n"/>
      <c r="H358" s="7" t="n"/>
    </row>
    <row r="359">
      <c r="A359" s="7" t="n"/>
      <c r="H359" s="7" t="n"/>
    </row>
    <row r="360">
      <c r="A360" s="7" t="n"/>
      <c r="H360" s="7" t="n"/>
    </row>
    <row r="361">
      <c r="A361" s="7" t="n"/>
      <c r="H361" s="7" t="n"/>
    </row>
    <row r="362">
      <c r="A362" s="7" t="n"/>
      <c r="H362" s="7" t="n"/>
    </row>
    <row r="363">
      <c r="A363" s="7" t="n"/>
      <c r="H363" s="7" t="n"/>
    </row>
    <row r="364">
      <c r="A364" s="7" t="n"/>
      <c r="H364" s="7" t="n"/>
    </row>
    <row r="365">
      <c r="A365" s="7" t="n"/>
      <c r="H365" s="7" t="n"/>
    </row>
    <row r="366">
      <c r="A366" s="7" t="n"/>
      <c r="H366" s="7" t="n"/>
    </row>
    <row r="367">
      <c r="A367" s="7" t="n"/>
      <c r="H367" s="7" t="n"/>
    </row>
    <row r="368">
      <c r="A368" s="7" t="n"/>
      <c r="H368" s="7" t="n"/>
    </row>
    <row r="369">
      <c r="A369" s="7" t="n"/>
      <c r="H369" s="7" t="n"/>
    </row>
    <row r="370">
      <c r="A370" s="7" t="n"/>
      <c r="H370" s="7" t="n"/>
    </row>
    <row r="371">
      <c r="A371" s="7" t="n"/>
      <c r="H371" s="7" t="n"/>
    </row>
    <row r="372">
      <c r="A372" s="7" t="n"/>
      <c r="H372" s="7" t="n"/>
    </row>
    <row r="373">
      <c r="A373" s="7" t="n"/>
      <c r="H373" s="7" t="n"/>
    </row>
    <row r="374">
      <c r="A374" s="7" t="n"/>
      <c r="H374" s="7" t="n"/>
    </row>
    <row r="375">
      <c r="A375" s="7" t="n"/>
      <c r="H375" s="7" t="n"/>
    </row>
    <row r="376">
      <c r="A376" s="7" t="n"/>
      <c r="H376" s="7" t="n"/>
    </row>
    <row r="377">
      <c r="A377" s="7" t="n"/>
      <c r="H377" s="7" t="n"/>
    </row>
    <row r="378">
      <c r="A378" s="7" t="n"/>
      <c r="H378" s="7" t="n"/>
    </row>
    <row r="379">
      <c r="A379" s="7" t="n"/>
      <c r="H379" s="7" t="n"/>
    </row>
    <row r="380">
      <c r="A380" s="7" t="n"/>
      <c r="H380" s="7" t="n"/>
    </row>
    <row r="381">
      <c r="A381" s="7" t="n"/>
      <c r="H381" s="7" t="n"/>
    </row>
    <row r="382">
      <c r="A382" s="7" t="n"/>
      <c r="H382" s="7" t="n"/>
    </row>
    <row r="383">
      <c r="A383" s="7" t="n"/>
      <c r="H383" s="7" t="n"/>
    </row>
    <row r="384">
      <c r="A384" s="7" t="n"/>
      <c r="H384" s="7" t="n"/>
    </row>
    <row r="385">
      <c r="A385" s="7" t="n"/>
      <c r="H385" s="7" t="n"/>
    </row>
    <row r="386">
      <c r="A386" s="7" t="n"/>
      <c r="H386" s="7" t="n"/>
    </row>
    <row r="387">
      <c r="A387" s="7" t="n"/>
      <c r="H387" s="7" t="n"/>
    </row>
    <row r="388">
      <c r="A388" s="7" t="n"/>
      <c r="H388" s="7" t="n"/>
    </row>
    <row r="389">
      <c r="A389" s="7" t="n"/>
      <c r="H389" s="7" t="n"/>
    </row>
    <row r="390">
      <c r="A390" s="7" t="n"/>
      <c r="H390" s="7" t="n"/>
    </row>
    <row r="391">
      <c r="A391" s="7" t="n"/>
      <c r="H391" s="7" t="n"/>
    </row>
    <row r="392">
      <c r="A392" s="7" t="n"/>
      <c r="H392" s="7" t="n"/>
    </row>
    <row r="393">
      <c r="A393" s="7" t="n"/>
      <c r="H393" s="7" t="n"/>
    </row>
    <row r="394">
      <c r="A394" s="7" t="n"/>
      <c r="H394" s="7" t="n"/>
    </row>
    <row r="395">
      <c r="A395" s="7" t="n"/>
      <c r="H395" s="7" t="n"/>
    </row>
    <row r="396">
      <c r="A396" s="7" t="n"/>
      <c r="H396" s="7" t="n"/>
    </row>
    <row r="397">
      <c r="A397" s="7" t="n"/>
      <c r="H397" s="7" t="n"/>
    </row>
    <row r="398">
      <c r="A398" s="7" t="n"/>
      <c r="H398" s="7" t="n"/>
    </row>
    <row r="399">
      <c r="A399" s="7" t="n"/>
      <c r="H399" s="7" t="n"/>
    </row>
    <row r="400">
      <c r="A400" s="7" t="n"/>
      <c r="H400" s="7" t="n"/>
    </row>
    <row r="401">
      <c r="A401" s="7" t="n"/>
      <c r="H401" s="7" t="n"/>
    </row>
    <row r="402">
      <c r="A402" s="7" t="n"/>
      <c r="H402" s="7" t="n"/>
    </row>
    <row r="403">
      <c r="A403" s="7" t="n"/>
      <c r="H403" s="7" t="n"/>
    </row>
    <row r="404">
      <c r="A404" s="7" t="n"/>
      <c r="H404" s="7" t="n"/>
    </row>
    <row r="405">
      <c r="A405" s="7" t="n"/>
      <c r="H405" s="7" t="n"/>
    </row>
    <row r="406">
      <c r="A406" s="7" t="n"/>
      <c r="H406" s="7" t="n"/>
    </row>
    <row r="407">
      <c r="A407" s="7" t="n"/>
      <c r="H407" s="7" t="n"/>
    </row>
    <row r="408">
      <c r="A408" s="7" t="n"/>
      <c r="H408" s="7" t="n"/>
    </row>
    <row r="409">
      <c r="A409" s="7" t="n"/>
      <c r="H409" s="7" t="n"/>
    </row>
    <row r="410">
      <c r="A410" s="7" t="n"/>
      <c r="H410" s="7" t="n"/>
    </row>
    <row r="411">
      <c r="A411" s="7" t="n"/>
      <c r="H411" s="7" t="n"/>
    </row>
    <row r="412">
      <c r="A412" s="7" t="n"/>
      <c r="H412" s="7" t="n"/>
    </row>
    <row r="413">
      <c r="A413" s="7" t="n"/>
      <c r="H413" s="7" t="n"/>
    </row>
    <row r="414">
      <c r="A414" s="7" t="n"/>
      <c r="H414" s="7" t="n"/>
    </row>
    <row r="415">
      <c r="A415" s="7" t="n"/>
      <c r="H415" s="7" t="n"/>
    </row>
    <row r="416">
      <c r="A416" s="7" t="n"/>
      <c r="H416" s="7" t="n"/>
    </row>
    <row r="417">
      <c r="A417" s="7" t="n"/>
      <c r="H417" s="7" t="n"/>
    </row>
    <row r="418">
      <c r="A418" s="7" t="n"/>
      <c r="H418" s="7" t="n"/>
    </row>
    <row r="419">
      <c r="A419" s="7" t="n"/>
      <c r="H419" s="7" t="n"/>
    </row>
    <row r="420">
      <c r="A420" s="7" t="n"/>
      <c r="H420" s="7" t="n"/>
    </row>
    <row r="421">
      <c r="A421" s="7" t="n"/>
      <c r="H421" s="7" t="n"/>
    </row>
    <row r="422">
      <c r="A422" s="7" t="n"/>
      <c r="H422" s="7" t="n"/>
    </row>
    <row r="423">
      <c r="A423" s="7" t="n"/>
      <c r="H423" s="7" t="n"/>
    </row>
    <row r="424">
      <c r="A424" s="7" t="n"/>
      <c r="H424" s="7" t="n"/>
    </row>
    <row r="425">
      <c r="A425" s="7" t="n"/>
      <c r="H425" s="7" t="n"/>
    </row>
    <row r="426">
      <c r="A426" s="7" t="n"/>
      <c r="H426" s="7" t="n"/>
    </row>
    <row r="427">
      <c r="A427" s="7" t="n"/>
      <c r="H427" s="7" t="n"/>
    </row>
    <row r="428">
      <c r="A428" s="7" t="n"/>
      <c r="H428" s="7" t="n"/>
    </row>
    <row r="429">
      <c r="A429" s="7" t="n"/>
      <c r="H429" s="7" t="n"/>
    </row>
    <row r="430">
      <c r="A430" s="7" t="n"/>
      <c r="H430" s="7" t="n"/>
    </row>
    <row r="431">
      <c r="A431" s="7" t="n"/>
      <c r="H431" s="7" t="n"/>
    </row>
    <row r="432">
      <c r="A432" s="7" t="n"/>
      <c r="H432" s="7" t="n"/>
    </row>
    <row r="433">
      <c r="A433" s="7" t="n"/>
      <c r="H433" s="7" t="n"/>
    </row>
    <row r="434">
      <c r="A434" s="7" t="n"/>
      <c r="H434" s="7" t="n"/>
    </row>
    <row r="435">
      <c r="A435" s="7" t="n"/>
      <c r="H435" s="7" t="n"/>
    </row>
    <row r="436">
      <c r="A436" s="7" t="n"/>
      <c r="H436" s="7" t="n"/>
    </row>
    <row r="437">
      <c r="A437" s="7" t="n"/>
      <c r="H437" s="7" t="n"/>
    </row>
    <row r="438">
      <c r="A438" s="7" t="n"/>
      <c r="H438" s="7" t="n"/>
    </row>
    <row r="439">
      <c r="A439" s="7" t="n"/>
      <c r="H439" s="7" t="n"/>
    </row>
    <row r="440">
      <c r="A440" s="7" t="n"/>
      <c r="H440" s="7" t="n"/>
    </row>
    <row r="441">
      <c r="A441" s="7" t="n"/>
      <c r="H441" s="7" t="n"/>
    </row>
    <row r="442">
      <c r="A442" s="7" t="n"/>
      <c r="H442" s="7" t="n"/>
    </row>
    <row r="443">
      <c r="A443" s="7" t="n"/>
      <c r="H443" s="7" t="n"/>
    </row>
    <row r="444">
      <c r="A444" s="7" t="n"/>
      <c r="H444" s="7" t="n"/>
    </row>
    <row r="445">
      <c r="A445" s="7" t="n"/>
      <c r="H445" s="7" t="n"/>
    </row>
    <row r="446">
      <c r="A446" s="7" t="n"/>
      <c r="H446" s="7" t="n"/>
    </row>
    <row r="447">
      <c r="A447" s="7" t="n"/>
      <c r="H447" s="7" t="n"/>
    </row>
    <row r="448">
      <c r="A448" s="7" t="n"/>
      <c r="H448" s="7" t="n"/>
    </row>
    <row r="449">
      <c r="A449" s="7" t="n"/>
      <c r="H449" s="7" t="n"/>
    </row>
    <row r="450">
      <c r="A450" s="7" t="n"/>
      <c r="H450" s="7" t="n"/>
    </row>
    <row r="451">
      <c r="A451" s="7" t="n"/>
      <c r="H451" s="7" t="n"/>
    </row>
    <row r="452">
      <c r="A452" s="7" t="n"/>
      <c r="H452" s="7" t="n"/>
    </row>
    <row r="453">
      <c r="A453" s="7" t="n"/>
      <c r="H453" s="7" t="n"/>
    </row>
    <row r="454">
      <c r="A454" s="7" t="n"/>
      <c r="H454" s="7" t="n"/>
    </row>
    <row r="455">
      <c r="A455" s="7" t="n"/>
      <c r="H455" s="7" t="n"/>
    </row>
    <row r="456">
      <c r="A456" s="7" t="n"/>
      <c r="H456" s="7" t="n"/>
    </row>
    <row r="457">
      <c r="A457" s="7" t="n"/>
      <c r="H457" s="7" t="n"/>
    </row>
    <row r="458">
      <c r="A458" s="7" t="n"/>
      <c r="H458" s="7" t="n"/>
    </row>
    <row r="459">
      <c r="A459" s="7" t="n"/>
      <c r="H459" s="7" t="n"/>
    </row>
    <row r="460">
      <c r="A460" s="7" t="n"/>
      <c r="H460" s="7" t="n"/>
    </row>
    <row r="461">
      <c r="A461" s="7" t="n"/>
      <c r="H461" s="7" t="n"/>
    </row>
    <row r="462">
      <c r="A462" s="7" t="n"/>
      <c r="H462" s="7" t="n"/>
    </row>
    <row r="463">
      <c r="A463" s="7" t="n"/>
      <c r="H463" s="7" t="n"/>
    </row>
    <row r="464">
      <c r="A464" s="7" t="n"/>
      <c r="H464" s="7" t="n"/>
    </row>
    <row r="465">
      <c r="A465" s="7" t="n"/>
      <c r="H465" s="7" t="n"/>
    </row>
    <row r="466">
      <c r="A466" s="7" t="n"/>
      <c r="H466" s="7" t="n"/>
    </row>
    <row r="467">
      <c r="A467" s="7" t="n"/>
      <c r="H467" s="7" t="n"/>
    </row>
    <row r="468">
      <c r="A468" s="7" t="n"/>
      <c r="H468" s="7" t="n"/>
    </row>
    <row r="469">
      <c r="A469" s="7" t="n"/>
      <c r="H469" s="7" t="n"/>
    </row>
    <row r="470">
      <c r="A470" s="7" t="n"/>
      <c r="H470" s="7" t="n"/>
    </row>
    <row r="471">
      <c r="A471" s="7" t="n"/>
      <c r="H471" s="7" t="n"/>
    </row>
    <row r="472">
      <c r="A472" s="7" t="n"/>
      <c r="H472" s="7" t="n"/>
    </row>
    <row r="473">
      <c r="A473" s="7" t="n"/>
      <c r="H473" s="7" t="n"/>
    </row>
    <row r="474">
      <c r="A474" s="7" t="n"/>
      <c r="H474" s="7" t="n"/>
    </row>
    <row r="475">
      <c r="A475" s="7" t="n"/>
      <c r="H475" s="7" t="n"/>
    </row>
    <row r="476">
      <c r="A476" s="7" t="n"/>
      <c r="H476" s="7" t="n"/>
    </row>
    <row r="477">
      <c r="A477" s="7" t="n"/>
      <c r="H477" s="7" t="n"/>
    </row>
    <row r="478">
      <c r="A478" s="7" t="n"/>
      <c r="H478" s="7" t="n"/>
    </row>
    <row r="479">
      <c r="A479" s="7" t="n"/>
      <c r="H479" s="7" t="n"/>
    </row>
    <row r="480">
      <c r="A480" s="7" t="n"/>
      <c r="H480" s="7" t="n"/>
    </row>
    <row r="481">
      <c r="A481" s="7" t="n"/>
      <c r="H481" s="7" t="n"/>
    </row>
    <row r="482">
      <c r="A482" s="7" t="n"/>
      <c r="H482" s="7" t="n"/>
    </row>
    <row r="483">
      <c r="A483" s="7" t="n"/>
      <c r="H483" s="7" t="n"/>
    </row>
    <row r="484">
      <c r="A484" s="7" t="n"/>
      <c r="H484" s="7" t="n"/>
    </row>
    <row r="485">
      <c r="A485" s="7" t="n"/>
      <c r="H485" s="7" t="n"/>
    </row>
    <row r="486">
      <c r="A486" s="7" t="n"/>
      <c r="H486" s="7" t="n"/>
    </row>
    <row r="487">
      <c r="A487" s="7" t="n"/>
      <c r="H487" s="7" t="n"/>
    </row>
    <row r="488">
      <c r="A488" s="7" t="n"/>
      <c r="H488" s="7" t="n"/>
    </row>
    <row r="489">
      <c r="A489" s="7" t="n"/>
      <c r="H489" s="7" t="n"/>
    </row>
    <row r="490">
      <c r="A490" s="7" t="n"/>
      <c r="H490" s="7" t="n"/>
    </row>
    <row r="491">
      <c r="A491" s="7" t="n"/>
      <c r="H491" s="7" t="n"/>
    </row>
    <row r="492">
      <c r="A492" s="7" t="n"/>
      <c r="H492" s="7" t="n"/>
    </row>
    <row r="493">
      <c r="A493" s="7" t="n"/>
      <c r="H493" s="7" t="n"/>
    </row>
    <row r="494">
      <c r="A494" s="7" t="n"/>
      <c r="H494" s="7" t="n"/>
    </row>
    <row r="495">
      <c r="A495" s="7" t="n"/>
      <c r="H495" s="7" t="n"/>
    </row>
    <row r="496">
      <c r="A496" s="7" t="n"/>
      <c r="H496" s="7" t="n"/>
    </row>
    <row r="497">
      <c r="A497" s="7" t="n"/>
      <c r="H497" s="7" t="n"/>
    </row>
    <row r="498">
      <c r="A498" s="7" t="n"/>
      <c r="H498" s="7" t="n"/>
    </row>
    <row r="499">
      <c r="A499" s="7" t="n"/>
      <c r="H499" s="7" t="n"/>
    </row>
    <row r="500">
      <c r="A500" s="7" t="n"/>
      <c r="H500" s="7" t="n"/>
    </row>
    <row r="501">
      <c r="A501" s="7" t="n"/>
      <c r="H501" s="7" t="n"/>
    </row>
  </sheetData>
  <dataValidations count="4">
    <dataValidation sqref="B2:B501" showDropDown="0" showInputMessage="0" showErrorMessage="0" allowBlank="1" type="list">
      <formula1>"Speed,Search,Calls and quotes,Other"</formula1>
    </dataValidation>
    <dataValidation sqref="D2:D501" showDropDown="0" showInputMessage="0" showErrorMessage="0" allowBlank="1" type="list">
      <formula1>"High,Medium,Low"</formula1>
    </dataValidation>
    <dataValidation sqref="F2:F501" showDropDown="0" showInputMessage="0" showErrorMessage="0" allowBlank="1" type="list">
      <formula1>"Owner,Me,Their web person"</formula1>
    </dataValidation>
    <dataValidation sqref="G2:G501" showDropDown="0" showInputMessage="0" showErrorMessage="0" allowBlank="1" type="list">
      <formula1>"Open,Fixed,Won't fix"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0" customWidth="1" min="3" max="3"/>
    <col width="30" customWidth="1" min="4" max="4"/>
    <col width="14" customWidth="1" min="5" max="5"/>
    <col width="13" customWidth="1" min="6" max="6"/>
    <col width="13" customWidth="1" min="7" max="7"/>
    <col width="30" customWidth="1" min="8" max="8"/>
  </cols>
  <sheetData>
    <row r="1" ht="36" customHeight="1">
      <c r="A1" s="3" t="inlineStr">
        <is>
          <t>Week of</t>
        </is>
      </c>
      <c r="B1" s="3" t="inlineStr">
        <is>
          <t>Type</t>
        </is>
      </c>
      <c r="C1" s="3" t="inlineStr">
        <is>
          <t>Post text</t>
        </is>
      </c>
      <c r="D1" s="3" t="inlineStr">
        <is>
          <t>Photo</t>
        </is>
      </c>
      <c r="E1" s="3" t="inlineStr">
        <is>
          <t>Owner approved (offers)</t>
        </is>
      </c>
      <c r="F1" s="3" t="inlineStr">
        <is>
          <t>Scheduled for</t>
        </is>
      </c>
      <c r="G1" s="3" t="inlineStr">
        <is>
          <t>Published on</t>
        </is>
      </c>
      <c r="H1" s="3" t="inlineStr">
        <is>
          <t>Notes</t>
        </is>
      </c>
    </row>
    <row r="2">
      <c r="A2" s="7" t="n"/>
      <c r="F2" s="7" t="n"/>
      <c r="G2" s="7" t="n"/>
    </row>
    <row r="3">
      <c r="A3" s="7" t="n"/>
      <c r="F3" s="7" t="n"/>
      <c r="G3" s="7" t="n"/>
    </row>
    <row r="4">
      <c r="A4" s="7" t="n"/>
      <c r="F4" s="7" t="n"/>
      <c r="G4" s="7" t="n"/>
    </row>
    <row r="5">
      <c r="A5" s="7" t="n"/>
      <c r="F5" s="7" t="n"/>
      <c r="G5" s="7" t="n"/>
    </row>
    <row r="6">
      <c r="A6" s="7" t="n"/>
      <c r="F6" s="7" t="n"/>
      <c r="G6" s="7" t="n"/>
    </row>
    <row r="7">
      <c r="A7" s="7" t="n"/>
      <c r="F7" s="7" t="n"/>
      <c r="G7" s="7" t="n"/>
    </row>
    <row r="8">
      <c r="A8" s="7" t="n"/>
      <c r="F8" s="7" t="n"/>
      <c r="G8" s="7" t="n"/>
    </row>
    <row r="9">
      <c r="A9" s="7" t="n"/>
      <c r="F9" s="7" t="n"/>
      <c r="G9" s="7" t="n"/>
    </row>
    <row r="10">
      <c r="A10" s="7" t="n"/>
      <c r="F10" s="7" t="n"/>
      <c r="G10" s="7" t="n"/>
    </row>
    <row r="11">
      <c r="A11" s="7" t="n"/>
      <c r="F11" s="7" t="n"/>
      <c r="G11" s="7" t="n"/>
    </row>
    <row r="12">
      <c r="A12" s="7" t="n"/>
      <c r="F12" s="7" t="n"/>
      <c r="G12" s="7" t="n"/>
    </row>
    <row r="13">
      <c r="A13" s="7" t="n"/>
      <c r="F13" s="7" t="n"/>
      <c r="G13" s="7" t="n"/>
    </row>
    <row r="14">
      <c r="A14" s="7" t="n"/>
      <c r="F14" s="7" t="n"/>
      <c r="G14" s="7" t="n"/>
    </row>
    <row r="15">
      <c r="A15" s="7" t="n"/>
      <c r="F15" s="7" t="n"/>
      <c r="G15" s="7" t="n"/>
    </row>
    <row r="16">
      <c r="A16" s="7" t="n"/>
      <c r="F16" s="7" t="n"/>
      <c r="G16" s="7" t="n"/>
    </row>
    <row r="17">
      <c r="A17" s="7" t="n"/>
      <c r="F17" s="7" t="n"/>
      <c r="G17" s="7" t="n"/>
    </row>
    <row r="18">
      <c r="A18" s="7" t="n"/>
      <c r="F18" s="7" t="n"/>
      <c r="G18" s="7" t="n"/>
    </row>
    <row r="19">
      <c r="A19" s="7" t="n"/>
      <c r="F19" s="7" t="n"/>
      <c r="G19" s="7" t="n"/>
    </row>
    <row r="20">
      <c r="A20" s="7" t="n"/>
      <c r="F20" s="7" t="n"/>
      <c r="G20" s="7" t="n"/>
    </row>
    <row r="21">
      <c r="A21" s="7" t="n"/>
      <c r="F21" s="7" t="n"/>
      <c r="G21" s="7" t="n"/>
    </row>
    <row r="22">
      <c r="A22" s="7" t="n"/>
      <c r="F22" s="7" t="n"/>
      <c r="G22" s="7" t="n"/>
    </row>
    <row r="23">
      <c r="A23" s="7" t="n"/>
      <c r="F23" s="7" t="n"/>
      <c r="G23" s="7" t="n"/>
    </row>
    <row r="24">
      <c r="A24" s="7" t="n"/>
      <c r="F24" s="7" t="n"/>
      <c r="G24" s="7" t="n"/>
    </row>
    <row r="25">
      <c r="A25" s="7" t="n"/>
      <c r="F25" s="7" t="n"/>
      <c r="G25" s="7" t="n"/>
    </row>
    <row r="26">
      <c r="A26" s="7" t="n"/>
      <c r="F26" s="7" t="n"/>
      <c r="G26" s="7" t="n"/>
    </row>
    <row r="27">
      <c r="A27" s="7" t="n"/>
      <c r="F27" s="7" t="n"/>
      <c r="G27" s="7" t="n"/>
    </row>
    <row r="28">
      <c r="A28" s="7" t="n"/>
      <c r="F28" s="7" t="n"/>
      <c r="G28" s="7" t="n"/>
    </row>
    <row r="29">
      <c r="A29" s="7" t="n"/>
      <c r="F29" s="7" t="n"/>
      <c r="G29" s="7" t="n"/>
    </row>
    <row r="30">
      <c r="A30" s="7" t="n"/>
      <c r="F30" s="7" t="n"/>
      <c r="G30" s="7" t="n"/>
    </row>
    <row r="31">
      <c r="A31" s="7" t="n"/>
      <c r="F31" s="7" t="n"/>
      <c r="G31" s="7" t="n"/>
    </row>
    <row r="32">
      <c r="A32" s="7" t="n"/>
      <c r="F32" s="7" t="n"/>
      <c r="G32" s="7" t="n"/>
    </row>
    <row r="33">
      <c r="A33" s="7" t="n"/>
      <c r="F33" s="7" t="n"/>
      <c r="G33" s="7" t="n"/>
    </row>
    <row r="34">
      <c r="A34" s="7" t="n"/>
      <c r="F34" s="7" t="n"/>
      <c r="G34" s="7" t="n"/>
    </row>
    <row r="35">
      <c r="A35" s="7" t="n"/>
      <c r="F35" s="7" t="n"/>
      <c r="G35" s="7" t="n"/>
    </row>
    <row r="36">
      <c r="A36" s="7" t="n"/>
      <c r="F36" s="7" t="n"/>
      <c r="G36" s="7" t="n"/>
    </row>
    <row r="37">
      <c r="A37" s="7" t="n"/>
      <c r="F37" s="7" t="n"/>
      <c r="G37" s="7" t="n"/>
    </row>
    <row r="38">
      <c r="A38" s="7" t="n"/>
      <c r="F38" s="7" t="n"/>
      <c r="G38" s="7" t="n"/>
    </row>
    <row r="39">
      <c r="A39" s="7" t="n"/>
      <c r="F39" s="7" t="n"/>
      <c r="G39" s="7" t="n"/>
    </row>
    <row r="40">
      <c r="A40" s="7" t="n"/>
      <c r="F40" s="7" t="n"/>
      <c r="G40" s="7" t="n"/>
    </row>
    <row r="41">
      <c r="A41" s="7" t="n"/>
      <c r="F41" s="7" t="n"/>
      <c r="G41" s="7" t="n"/>
    </row>
    <row r="42">
      <c r="A42" s="7" t="n"/>
      <c r="F42" s="7" t="n"/>
      <c r="G42" s="7" t="n"/>
    </row>
    <row r="43">
      <c r="A43" s="7" t="n"/>
      <c r="F43" s="7" t="n"/>
      <c r="G43" s="7" t="n"/>
    </row>
    <row r="44">
      <c r="A44" s="7" t="n"/>
      <c r="F44" s="7" t="n"/>
      <c r="G44" s="7" t="n"/>
    </row>
    <row r="45">
      <c r="A45" s="7" t="n"/>
      <c r="F45" s="7" t="n"/>
      <c r="G45" s="7" t="n"/>
    </row>
    <row r="46">
      <c r="A46" s="7" t="n"/>
      <c r="F46" s="7" t="n"/>
      <c r="G46" s="7" t="n"/>
    </row>
    <row r="47">
      <c r="A47" s="7" t="n"/>
      <c r="F47" s="7" t="n"/>
      <c r="G47" s="7" t="n"/>
    </row>
    <row r="48">
      <c r="A48" s="7" t="n"/>
      <c r="F48" s="7" t="n"/>
      <c r="G48" s="7" t="n"/>
    </row>
    <row r="49">
      <c r="A49" s="7" t="n"/>
      <c r="F49" s="7" t="n"/>
      <c r="G49" s="7" t="n"/>
    </row>
    <row r="50">
      <c r="A50" s="7" t="n"/>
      <c r="F50" s="7" t="n"/>
      <c r="G50" s="7" t="n"/>
    </row>
    <row r="51">
      <c r="A51" s="7" t="n"/>
      <c r="F51" s="7" t="n"/>
      <c r="G51" s="7" t="n"/>
    </row>
    <row r="52">
      <c r="A52" s="7" t="n"/>
      <c r="F52" s="7" t="n"/>
      <c r="G52" s="7" t="n"/>
    </row>
    <row r="53">
      <c r="A53" s="7" t="n"/>
      <c r="F53" s="7" t="n"/>
      <c r="G53" s="7" t="n"/>
    </row>
    <row r="54">
      <c r="A54" s="7" t="n"/>
      <c r="F54" s="7" t="n"/>
      <c r="G54" s="7" t="n"/>
    </row>
    <row r="55">
      <c r="A55" s="7" t="n"/>
      <c r="F55" s="7" t="n"/>
      <c r="G55" s="7" t="n"/>
    </row>
    <row r="56">
      <c r="A56" s="7" t="n"/>
      <c r="F56" s="7" t="n"/>
      <c r="G56" s="7" t="n"/>
    </row>
    <row r="57">
      <c r="A57" s="7" t="n"/>
      <c r="F57" s="7" t="n"/>
      <c r="G57" s="7" t="n"/>
    </row>
    <row r="58">
      <c r="A58" s="7" t="n"/>
      <c r="F58" s="7" t="n"/>
      <c r="G58" s="7" t="n"/>
    </row>
    <row r="59">
      <c r="A59" s="7" t="n"/>
      <c r="F59" s="7" t="n"/>
      <c r="G59" s="7" t="n"/>
    </row>
    <row r="60">
      <c r="A60" s="7" t="n"/>
      <c r="F60" s="7" t="n"/>
      <c r="G60" s="7" t="n"/>
    </row>
    <row r="61">
      <c r="A61" s="7" t="n"/>
      <c r="F61" s="7" t="n"/>
      <c r="G61" s="7" t="n"/>
    </row>
    <row r="62">
      <c r="A62" s="7" t="n"/>
      <c r="F62" s="7" t="n"/>
      <c r="G62" s="7" t="n"/>
    </row>
    <row r="63">
      <c r="A63" s="7" t="n"/>
      <c r="F63" s="7" t="n"/>
      <c r="G63" s="7" t="n"/>
    </row>
    <row r="64">
      <c r="A64" s="7" t="n"/>
      <c r="F64" s="7" t="n"/>
      <c r="G64" s="7" t="n"/>
    </row>
    <row r="65">
      <c r="A65" s="7" t="n"/>
      <c r="F65" s="7" t="n"/>
      <c r="G65" s="7" t="n"/>
    </row>
    <row r="66">
      <c r="A66" s="7" t="n"/>
      <c r="F66" s="7" t="n"/>
      <c r="G66" s="7" t="n"/>
    </row>
    <row r="67">
      <c r="A67" s="7" t="n"/>
      <c r="F67" s="7" t="n"/>
      <c r="G67" s="7" t="n"/>
    </row>
    <row r="68">
      <c r="A68" s="7" t="n"/>
      <c r="F68" s="7" t="n"/>
      <c r="G68" s="7" t="n"/>
    </row>
    <row r="69">
      <c r="A69" s="7" t="n"/>
      <c r="F69" s="7" t="n"/>
      <c r="G69" s="7" t="n"/>
    </row>
    <row r="70">
      <c r="A70" s="7" t="n"/>
      <c r="F70" s="7" t="n"/>
      <c r="G70" s="7" t="n"/>
    </row>
    <row r="71">
      <c r="A71" s="7" t="n"/>
      <c r="F71" s="7" t="n"/>
      <c r="G71" s="7" t="n"/>
    </row>
    <row r="72">
      <c r="A72" s="7" t="n"/>
      <c r="F72" s="7" t="n"/>
      <c r="G72" s="7" t="n"/>
    </row>
    <row r="73">
      <c r="A73" s="7" t="n"/>
      <c r="F73" s="7" t="n"/>
      <c r="G73" s="7" t="n"/>
    </row>
    <row r="74">
      <c r="A74" s="7" t="n"/>
      <c r="F74" s="7" t="n"/>
      <c r="G74" s="7" t="n"/>
    </row>
    <row r="75">
      <c r="A75" s="7" t="n"/>
      <c r="F75" s="7" t="n"/>
      <c r="G75" s="7" t="n"/>
    </row>
    <row r="76">
      <c r="A76" s="7" t="n"/>
      <c r="F76" s="7" t="n"/>
      <c r="G76" s="7" t="n"/>
    </row>
    <row r="77">
      <c r="A77" s="7" t="n"/>
      <c r="F77" s="7" t="n"/>
      <c r="G77" s="7" t="n"/>
    </row>
    <row r="78">
      <c r="A78" s="7" t="n"/>
      <c r="F78" s="7" t="n"/>
      <c r="G78" s="7" t="n"/>
    </row>
    <row r="79">
      <c r="A79" s="7" t="n"/>
      <c r="F79" s="7" t="n"/>
      <c r="G79" s="7" t="n"/>
    </row>
    <row r="80">
      <c r="A80" s="7" t="n"/>
      <c r="F80" s="7" t="n"/>
      <c r="G80" s="7" t="n"/>
    </row>
    <row r="81">
      <c r="A81" s="7" t="n"/>
      <c r="F81" s="7" t="n"/>
      <c r="G81" s="7" t="n"/>
    </row>
    <row r="82">
      <c r="A82" s="7" t="n"/>
      <c r="F82" s="7" t="n"/>
      <c r="G82" s="7" t="n"/>
    </row>
    <row r="83">
      <c r="A83" s="7" t="n"/>
      <c r="F83" s="7" t="n"/>
      <c r="G83" s="7" t="n"/>
    </row>
    <row r="84">
      <c r="A84" s="7" t="n"/>
      <c r="F84" s="7" t="n"/>
      <c r="G84" s="7" t="n"/>
    </row>
    <row r="85">
      <c r="A85" s="7" t="n"/>
      <c r="F85" s="7" t="n"/>
      <c r="G85" s="7" t="n"/>
    </row>
    <row r="86">
      <c r="A86" s="7" t="n"/>
      <c r="F86" s="7" t="n"/>
      <c r="G86" s="7" t="n"/>
    </row>
    <row r="87">
      <c r="A87" s="7" t="n"/>
      <c r="F87" s="7" t="n"/>
      <c r="G87" s="7" t="n"/>
    </row>
    <row r="88">
      <c r="A88" s="7" t="n"/>
      <c r="F88" s="7" t="n"/>
      <c r="G88" s="7" t="n"/>
    </row>
    <row r="89">
      <c r="A89" s="7" t="n"/>
      <c r="F89" s="7" t="n"/>
      <c r="G89" s="7" t="n"/>
    </row>
    <row r="90">
      <c r="A90" s="7" t="n"/>
      <c r="F90" s="7" t="n"/>
      <c r="G90" s="7" t="n"/>
    </row>
    <row r="91">
      <c r="A91" s="7" t="n"/>
      <c r="F91" s="7" t="n"/>
      <c r="G91" s="7" t="n"/>
    </row>
    <row r="92">
      <c r="A92" s="7" t="n"/>
      <c r="F92" s="7" t="n"/>
      <c r="G92" s="7" t="n"/>
    </row>
    <row r="93">
      <c r="A93" s="7" t="n"/>
      <c r="F93" s="7" t="n"/>
      <c r="G93" s="7" t="n"/>
    </row>
    <row r="94">
      <c r="A94" s="7" t="n"/>
      <c r="F94" s="7" t="n"/>
      <c r="G94" s="7" t="n"/>
    </row>
    <row r="95">
      <c r="A95" s="7" t="n"/>
      <c r="F95" s="7" t="n"/>
      <c r="G95" s="7" t="n"/>
    </row>
    <row r="96">
      <c r="A96" s="7" t="n"/>
      <c r="F96" s="7" t="n"/>
      <c r="G96" s="7" t="n"/>
    </row>
    <row r="97">
      <c r="A97" s="7" t="n"/>
      <c r="F97" s="7" t="n"/>
      <c r="G97" s="7" t="n"/>
    </row>
    <row r="98">
      <c r="A98" s="7" t="n"/>
      <c r="F98" s="7" t="n"/>
      <c r="G98" s="7" t="n"/>
    </row>
    <row r="99">
      <c r="A99" s="7" t="n"/>
      <c r="F99" s="7" t="n"/>
      <c r="G99" s="7" t="n"/>
    </row>
    <row r="100">
      <c r="A100" s="7" t="n"/>
      <c r="F100" s="7" t="n"/>
      <c r="G100" s="7" t="n"/>
    </row>
    <row r="101">
      <c r="A101" s="7" t="n"/>
      <c r="F101" s="7" t="n"/>
      <c r="G101" s="7" t="n"/>
    </row>
    <row r="102">
      <c r="A102" s="7" t="n"/>
      <c r="F102" s="7" t="n"/>
      <c r="G102" s="7" t="n"/>
    </row>
    <row r="103">
      <c r="A103" s="7" t="n"/>
      <c r="F103" s="7" t="n"/>
      <c r="G103" s="7" t="n"/>
    </row>
    <row r="104">
      <c r="A104" s="7" t="n"/>
      <c r="F104" s="7" t="n"/>
      <c r="G104" s="7" t="n"/>
    </row>
    <row r="105">
      <c r="A105" s="7" t="n"/>
      <c r="F105" s="7" t="n"/>
      <c r="G105" s="7" t="n"/>
    </row>
    <row r="106">
      <c r="A106" s="7" t="n"/>
      <c r="F106" s="7" t="n"/>
      <c r="G106" s="7" t="n"/>
    </row>
    <row r="107">
      <c r="A107" s="7" t="n"/>
      <c r="F107" s="7" t="n"/>
      <c r="G107" s="7" t="n"/>
    </row>
    <row r="108">
      <c r="A108" s="7" t="n"/>
      <c r="F108" s="7" t="n"/>
      <c r="G108" s="7" t="n"/>
    </row>
    <row r="109">
      <c r="A109" s="7" t="n"/>
      <c r="F109" s="7" t="n"/>
      <c r="G109" s="7" t="n"/>
    </row>
    <row r="110">
      <c r="A110" s="7" t="n"/>
      <c r="F110" s="7" t="n"/>
      <c r="G110" s="7" t="n"/>
    </row>
    <row r="111">
      <c r="A111" s="7" t="n"/>
      <c r="F111" s="7" t="n"/>
      <c r="G111" s="7" t="n"/>
    </row>
    <row r="112">
      <c r="A112" s="7" t="n"/>
      <c r="F112" s="7" t="n"/>
      <c r="G112" s="7" t="n"/>
    </row>
    <row r="113">
      <c r="A113" s="7" t="n"/>
      <c r="F113" s="7" t="n"/>
      <c r="G113" s="7" t="n"/>
    </row>
    <row r="114">
      <c r="A114" s="7" t="n"/>
      <c r="F114" s="7" t="n"/>
      <c r="G114" s="7" t="n"/>
    </row>
    <row r="115">
      <c r="A115" s="7" t="n"/>
      <c r="F115" s="7" t="n"/>
      <c r="G115" s="7" t="n"/>
    </row>
    <row r="116">
      <c r="A116" s="7" t="n"/>
      <c r="F116" s="7" t="n"/>
      <c r="G116" s="7" t="n"/>
    </row>
    <row r="117">
      <c r="A117" s="7" t="n"/>
      <c r="F117" s="7" t="n"/>
      <c r="G117" s="7" t="n"/>
    </row>
    <row r="118">
      <c r="A118" s="7" t="n"/>
      <c r="F118" s="7" t="n"/>
      <c r="G118" s="7" t="n"/>
    </row>
    <row r="119">
      <c r="A119" s="7" t="n"/>
      <c r="F119" s="7" t="n"/>
      <c r="G119" s="7" t="n"/>
    </row>
    <row r="120">
      <c r="A120" s="7" t="n"/>
      <c r="F120" s="7" t="n"/>
      <c r="G120" s="7" t="n"/>
    </row>
    <row r="121">
      <c r="A121" s="7" t="n"/>
      <c r="F121" s="7" t="n"/>
      <c r="G121" s="7" t="n"/>
    </row>
    <row r="122">
      <c r="A122" s="7" t="n"/>
      <c r="F122" s="7" t="n"/>
      <c r="G122" s="7" t="n"/>
    </row>
    <row r="123">
      <c r="A123" s="7" t="n"/>
      <c r="F123" s="7" t="n"/>
      <c r="G123" s="7" t="n"/>
    </row>
    <row r="124">
      <c r="A124" s="7" t="n"/>
      <c r="F124" s="7" t="n"/>
      <c r="G124" s="7" t="n"/>
    </row>
    <row r="125">
      <c r="A125" s="7" t="n"/>
      <c r="F125" s="7" t="n"/>
      <c r="G125" s="7" t="n"/>
    </row>
    <row r="126">
      <c r="A126" s="7" t="n"/>
      <c r="F126" s="7" t="n"/>
      <c r="G126" s="7" t="n"/>
    </row>
    <row r="127">
      <c r="A127" s="7" t="n"/>
      <c r="F127" s="7" t="n"/>
      <c r="G127" s="7" t="n"/>
    </row>
    <row r="128">
      <c r="A128" s="7" t="n"/>
      <c r="F128" s="7" t="n"/>
      <c r="G128" s="7" t="n"/>
    </row>
    <row r="129">
      <c r="A129" s="7" t="n"/>
      <c r="F129" s="7" t="n"/>
      <c r="G129" s="7" t="n"/>
    </row>
    <row r="130">
      <c r="A130" s="7" t="n"/>
      <c r="F130" s="7" t="n"/>
      <c r="G130" s="7" t="n"/>
    </row>
    <row r="131">
      <c r="A131" s="7" t="n"/>
      <c r="F131" s="7" t="n"/>
      <c r="G131" s="7" t="n"/>
    </row>
    <row r="132">
      <c r="A132" s="7" t="n"/>
      <c r="F132" s="7" t="n"/>
      <c r="G132" s="7" t="n"/>
    </row>
    <row r="133">
      <c r="A133" s="7" t="n"/>
      <c r="F133" s="7" t="n"/>
      <c r="G133" s="7" t="n"/>
    </row>
    <row r="134">
      <c r="A134" s="7" t="n"/>
      <c r="F134" s="7" t="n"/>
      <c r="G134" s="7" t="n"/>
    </row>
    <row r="135">
      <c r="A135" s="7" t="n"/>
      <c r="F135" s="7" t="n"/>
      <c r="G135" s="7" t="n"/>
    </row>
    <row r="136">
      <c r="A136" s="7" t="n"/>
      <c r="F136" s="7" t="n"/>
      <c r="G136" s="7" t="n"/>
    </row>
    <row r="137">
      <c r="A137" s="7" t="n"/>
      <c r="F137" s="7" t="n"/>
      <c r="G137" s="7" t="n"/>
    </row>
    <row r="138">
      <c r="A138" s="7" t="n"/>
      <c r="F138" s="7" t="n"/>
      <c r="G138" s="7" t="n"/>
    </row>
    <row r="139">
      <c r="A139" s="7" t="n"/>
      <c r="F139" s="7" t="n"/>
      <c r="G139" s="7" t="n"/>
    </row>
    <row r="140">
      <c r="A140" s="7" t="n"/>
      <c r="F140" s="7" t="n"/>
      <c r="G140" s="7" t="n"/>
    </row>
    <row r="141">
      <c r="A141" s="7" t="n"/>
      <c r="F141" s="7" t="n"/>
      <c r="G141" s="7" t="n"/>
    </row>
    <row r="142">
      <c r="A142" s="7" t="n"/>
      <c r="F142" s="7" t="n"/>
      <c r="G142" s="7" t="n"/>
    </row>
    <row r="143">
      <c r="A143" s="7" t="n"/>
      <c r="F143" s="7" t="n"/>
      <c r="G143" s="7" t="n"/>
    </row>
    <row r="144">
      <c r="A144" s="7" t="n"/>
      <c r="F144" s="7" t="n"/>
      <c r="G144" s="7" t="n"/>
    </row>
    <row r="145">
      <c r="A145" s="7" t="n"/>
      <c r="F145" s="7" t="n"/>
      <c r="G145" s="7" t="n"/>
    </row>
    <row r="146">
      <c r="A146" s="7" t="n"/>
      <c r="F146" s="7" t="n"/>
      <c r="G146" s="7" t="n"/>
    </row>
    <row r="147">
      <c r="A147" s="7" t="n"/>
      <c r="F147" s="7" t="n"/>
      <c r="G147" s="7" t="n"/>
    </row>
    <row r="148">
      <c r="A148" s="7" t="n"/>
      <c r="F148" s="7" t="n"/>
      <c r="G148" s="7" t="n"/>
    </row>
    <row r="149">
      <c r="A149" s="7" t="n"/>
      <c r="F149" s="7" t="n"/>
      <c r="G149" s="7" t="n"/>
    </row>
    <row r="150">
      <c r="A150" s="7" t="n"/>
      <c r="F150" s="7" t="n"/>
      <c r="G150" s="7" t="n"/>
    </row>
    <row r="151">
      <c r="A151" s="7" t="n"/>
      <c r="F151" s="7" t="n"/>
      <c r="G151" s="7" t="n"/>
    </row>
    <row r="152">
      <c r="A152" s="7" t="n"/>
      <c r="F152" s="7" t="n"/>
      <c r="G152" s="7" t="n"/>
    </row>
    <row r="153">
      <c r="A153" s="7" t="n"/>
      <c r="F153" s="7" t="n"/>
      <c r="G153" s="7" t="n"/>
    </row>
    <row r="154">
      <c r="A154" s="7" t="n"/>
      <c r="F154" s="7" t="n"/>
      <c r="G154" s="7" t="n"/>
    </row>
    <row r="155">
      <c r="A155" s="7" t="n"/>
      <c r="F155" s="7" t="n"/>
      <c r="G155" s="7" t="n"/>
    </row>
    <row r="156">
      <c r="A156" s="7" t="n"/>
      <c r="F156" s="7" t="n"/>
      <c r="G156" s="7" t="n"/>
    </row>
    <row r="157">
      <c r="A157" s="7" t="n"/>
      <c r="F157" s="7" t="n"/>
      <c r="G157" s="7" t="n"/>
    </row>
    <row r="158">
      <c r="A158" s="7" t="n"/>
      <c r="F158" s="7" t="n"/>
      <c r="G158" s="7" t="n"/>
    </row>
    <row r="159">
      <c r="A159" s="7" t="n"/>
      <c r="F159" s="7" t="n"/>
      <c r="G159" s="7" t="n"/>
    </row>
    <row r="160">
      <c r="A160" s="7" t="n"/>
      <c r="F160" s="7" t="n"/>
      <c r="G160" s="7" t="n"/>
    </row>
    <row r="161">
      <c r="A161" s="7" t="n"/>
      <c r="F161" s="7" t="n"/>
      <c r="G161" s="7" t="n"/>
    </row>
    <row r="162">
      <c r="A162" s="7" t="n"/>
      <c r="F162" s="7" t="n"/>
      <c r="G162" s="7" t="n"/>
    </row>
    <row r="163">
      <c r="A163" s="7" t="n"/>
      <c r="F163" s="7" t="n"/>
      <c r="G163" s="7" t="n"/>
    </row>
    <row r="164">
      <c r="A164" s="7" t="n"/>
      <c r="F164" s="7" t="n"/>
      <c r="G164" s="7" t="n"/>
    </row>
    <row r="165">
      <c r="A165" s="7" t="n"/>
      <c r="F165" s="7" t="n"/>
      <c r="G165" s="7" t="n"/>
    </row>
    <row r="166">
      <c r="A166" s="7" t="n"/>
      <c r="F166" s="7" t="n"/>
      <c r="G166" s="7" t="n"/>
    </row>
    <row r="167">
      <c r="A167" s="7" t="n"/>
      <c r="F167" s="7" t="n"/>
      <c r="G167" s="7" t="n"/>
    </row>
    <row r="168">
      <c r="A168" s="7" t="n"/>
      <c r="F168" s="7" t="n"/>
      <c r="G168" s="7" t="n"/>
    </row>
    <row r="169">
      <c r="A169" s="7" t="n"/>
      <c r="F169" s="7" t="n"/>
      <c r="G169" s="7" t="n"/>
    </row>
    <row r="170">
      <c r="A170" s="7" t="n"/>
      <c r="F170" s="7" t="n"/>
      <c r="G170" s="7" t="n"/>
    </row>
    <row r="171">
      <c r="A171" s="7" t="n"/>
      <c r="F171" s="7" t="n"/>
      <c r="G171" s="7" t="n"/>
    </row>
    <row r="172">
      <c r="A172" s="7" t="n"/>
      <c r="F172" s="7" t="n"/>
      <c r="G172" s="7" t="n"/>
    </row>
    <row r="173">
      <c r="A173" s="7" t="n"/>
      <c r="F173" s="7" t="n"/>
      <c r="G173" s="7" t="n"/>
    </row>
    <row r="174">
      <c r="A174" s="7" t="n"/>
      <c r="F174" s="7" t="n"/>
      <c r="G174" s="7" t="n"/>
    </row>
    <row r="175">
      <c r="A175" s="7" t="n"/>
      <c r="F175" s="7" t="n"/>
      <c r="G175" s="7" t="n"/>
    </row>
    <row r="176">
      <c r="A176" s="7" t="n"/>
      <c r="F176" s="7" t="n"/>
      <c r="G176" s="7" t="n"/>
    </row>
    <row r="177">
      <c r="A177" s="7" t="n"/>
      <c r="F177" s="7" t="n"/>
      <c r="G177" s="7" t="n"/>
    </row>
    <row r="178">
      <c r="A178" s="7" t="n"/>
      <c r="F178" s="7" t="n"/>
      <c r="G178" s="7" t="n"/>
    </row>
    <row r="179">
      <c r="A179" s="7" t="n"/>
      <c r="F179" s="7" t="n"/>
      <c r="G179" s="7" t="n"/>
    </row>
    <row r="180">
      <c r="A180" s="7" t="n"/>
      <c r="F180" s="7" t="n"/>
      <c r="G180" s="7" t="n"/>
    </row>
    <row r="181">
      <c r="A181" s="7" t="n"/>
      <c r="F181" s="7" t="n"/>
      <c r="G181" s="7" t="n"/>
    </row>
    <row r="182">
      <c r="A182" s="7" t="n"/>
      <c r="F182" s="7" t="n"/>
      <c r="G182" s="7" t="n"/>
    </row>
    <row r="183">
      <c r="A183" s="7" t="n"/>
      <c r="F183" s="7" t="n"/>
      <c r="G183" s="7" t="n"/>
    </row>
    <row r="184">
      <c r="A184" s="7" t="n"/>
      <c r="F184" s="7" t="n"/>
      <c r="G184" s="7" t="n"/>
    </row>
    <row r="185">
      <c r="A185" s="7" t="n"/>
      <c r="F185" s="7" t="n"/>
      <c r="G185" s="7" t="n"/>
    </row>
    <row r="186">
      <c r="A186" s="7" t="n"/>
      <c r="F186" s="7" t="n"/>
      <c r="G186" s="7" t="n"/>
    </row>
    <row r="187">
      <c r="A187" s="7" t="n"/>
      <c r="F187" s="7" t="n"/>
      <c r="G187" s="7" t="n"/>
    </row>
    <row r="188">
      <c r="A188" s="7" t="n"/>
      <c r="F188" s="7" t="n"/>
      <c r="G188" s="7" t="n"/>
    </row>
    <row r="189">
      <c r="A189" s="7" t="n"/>
      <c r="F189" s="7" t="n"/>
      <c r="G189" s="7" t="n"/>
    </row>
    <row r="190">
      <c r="A190" s="7" t="n"/>
      <c r="F190" s="7" t="n"/>
      <c r="G190" s="7" t="n"/>
    </row>
    <row r="191">
      <c r="A191" s="7" t="n"/>
      <c r="F191" s="7" t="n"/>
      <c r="G191" s="7" t="n"/>
    </row>
    <row r="192">
      <c r="A192" s="7" t="n"/>
      <c r="F192" s="7" t="n"/>
      <c r="G192" s="7" t="n"/>
    </row>
    <row r="193">
      <c r="A193" s="7" t="n"/>
      <c r="F193" s="7" t="n"/>
      <c r="G193" s="7" t="n"/>
    </row>
    <row r="194">
      <c r="A194" s="7" t="n"/>
      <c r="F194" s="7" t="n"/>
      <c r="G194" s="7" t="n"/>
    </row>
    <row r="195">
      <c r="A195" s="7" t="n"/>
      <c r="F195" s="7" t="n"/>
      <c r="G195" s="7" t="n"/>
    </row>
    <row r="196">
      <c r="A196" s="7" t="n"/>
      <c r="F196" s="7" t="n"/>
      <c r="G196" s="7" t="n"/>
    </row>
    <row r="197">
      <c r="A197" s="7" t="n"/>
      <c r="F197" s="7" t="n"/>
      <c r="G197" s="7" t="n"/>
    </row>
    <row r="198">
      <c r="A198" s="7" t="n"/>
      <c r="F198" s="7" t="n"/>
      <c r="G198" s="7" t="n"/>
    </row>
    <row r="199">
      <c r="A199" s="7" t="n"/>
      <c r="F199" s="7" t="n"/>
      <c r="G199" s="7" t="n"/>
    </row>
    <row r="200">
      <c r="A200" s="7" t="n"/>
      <c r="F200" s="7" t="n"/>
      <c r="G200" s="7" t="n"/>
    </row>
    <row r="201">
      <c r="A201" s="7" t="n"/>
      <c r="F201" s="7" t="n"/>
      <c r="G201" s="7" t="n"/>
    </row>
    <row r="202">
      <c r="A202" s="7" t="n"/>
      <c r="F202" s="7" t="n"/>
      <c r="G202" s="7" t="n"/>
    </row>
    <row r="203">
      <c r="A203" s="7" t="n"/>
      <c r="F203" s="7" t="n"/>
      <c r="G203" s="7" t="n"/>
    </row>
    <row r="204">
      <c r="A204" s="7" t="n"/>
      <c r="F204" s="7" t="n"/>
      <c r="G204" s="7" t="n"/>
    </row>
    <row r="205">
      <c r="A205" s="7" t="n"/>
      <c r="F205" s="7" t="n"/>
      <c r="G205" s="7" t="n"/>
    </row>
    <row r="206">
      <c r="A206" s="7" t="n"/>
      <c r="F206" s="7" t="n"/>
      <c r="G206" s="7" t="n"/>
    </row>
    <row r="207">
      <c r="A207" s="7" t="n"/>
      <c r="F207" s="7" t="n"/>
      <c r="G207" s="7" t="n"/>
    </row>
    <row r="208">
      <c r="A208" s="7" t="n"/>
      <c r="F208" s="7" t="n"/>
      <c r="G208" s="7" t="n"/>
    </row>
    <row r="209">
      <c r="A209" s="7" t="n"/>
      <c r="F209" s="7" t="n"/>
      <c r="G209" s="7" t="n"/>
    </row>
    <row r="210">
      <c r="A210" s="7" t="n"/>
      <c r="F210" s="7" t="n"/>
      <c r="G210" s="7" t="n"/>
    </row>
    <row r="211">
      <c r="A211" s="7" t="n"/>
      <c r="F211" s="7" t="n"/>
      <c r="G211" s="7" t="n"/>
    </row>
    <row r="212">
      <c r="A212" s="7" t="n"/>
      <c r="F212" s="7" t="n"/>
      <c r="G212" s="7" t="n"/>
    </row>
    <row r="213">
      <c r="A213" s="7" t="n"/>
      <c r="F213" s="7" t="n"/>
      <c r="G213" s="7" t="n"/>
    </row>
    <row r="214">
      <c r="A214" s="7" t="n"/>
      <c r="F214" s="7" t="n"/>
      <c r="G214" s="7" t="n"/>
    </row>
    <row r="215">
      <c r="A215" s="7" t="n"/>
      <c r="F215" s="7" t="n"/>
      <c r="G215" s="7" t="n"/>
    </row>
    <row r="216">
      <c r="A216" s="7" t="n"/>
      <c r="F216" s="7" t="n"/>
      <c r="G216" s="7" t="n"/>
    </row>
    <row r="217">
      <c r="A217" s="7" t="n"/>
      <c r="F217" s="7" t="n"/>
      <c r="G217" s="7" t="n"/>
    </row>
    <row r="218">
      <c r="A218" s="7" t="n"/>
      <c r="F218" s="7" t="n"/>
      <c r="G218" s="7" t="n"/>
    </row>
    <row r="219">
      <c r="A219" s="7" t="n"/>
      <c r="F219" s="7" t="n"/>
      <c r="G219" s="7" t="n"/>
    </row>
    <row r="220">
      <c r="A220" s="7" t="n"/>
      <c r="F220" s="7" t="n"/>
      <c r="G220" s="7" t="n"/>
    </row>
    <row r="221">
      <c r="A221" s="7" t="n"/>
      <c r="F221" s="7" t="n"/>
      <c r="G221" s="7" t="n"/>
    </row>
    <row r="222">
      <c r="A222" s="7" t="n"/>
      <c r="F222" s="7" t="n"/>
      <c r="G222" s="7" t="n"/>
    </row>
    <row r="223">
      <c r="A223" s="7" t="n"/>
      <c r="F223" s="7" t="n"/>
      <c r="G223" s="7" t="n"/>
    </row>
    <row r="224">
      <c r="A224" s="7" t="n"/>
      <c r="F224" s="7" t="n"/>
      <c r="G224" s="7" t="n"/>
    </row>
    <row r="225">
      <c r="A225" s="7" t="n"/>
      <c r="F225" s="7" t="n"/>
      <c r="G225" s="7" t="n"/>
    </row>
    <row r="226">
      <c r="A226" s="7" t="n"/>
      <c r="F226" s="7" t="n"/>
      <c r="G226" s="7" t="n"/>
    </row>
    <row r="227">
      <c r="A227" s="7" t="n"/>
      <c r="F227" s="7" t="n"/>
      <c r="G227" s="7" t="n"/>
    </row>
    <row r="228">
      <c r="A228" s="7" t="n"/>
      <c r="F228" s="7" t="n"/>
      <c r="G228" s="7" t="n"/>
    </row>
    <row r="229">
      <c r="A229" s="7" t="n"/>
      <c r="F229" s="7" t="n"/>
      <c r="G229" s="7" t="n"/>
    </row>
    <row r="230">
      <c r="A230" s="7" t="n"/>
      <c r="F230" s="7" t="n"/>
      <c r="G230" s="7" t="n"/>
    </row>
    <row r="231">
      <c r="A231" s="7" t="n"/>
      <c r="F231" s="7" t="n"/>
      <c r="G231" s="7" t="n"/>
    </row>
    <row r="232">
      <c r="A232" s="7" t="n"/>
      <c r="F232" s="7" t="n"/>
      <c r="G232" s="7" t="n"/>
    </row>
    <row r="233">
      <c r="A233" s="7" t="n"/>
      <c r="F233" s="7" t="n"/>
      <c r="G233" s="7" t="n"/>
    </row>
    <row r="234">
      <c r="A234" s="7" t="n"/>
      <c r="F234" s="7" t="n"/>
      <c r="G234" s="7" t="n"/>
    </row>
    <row r="235">
      <c r="A235" s="7" t="n"/>
      <c r="F235" s="7" t="n"/>
      <c r="G235" s="7" t="n"/>
    </row>
    <row r="236">
      <c r="A236" s="7" t="n"/>
      <c r="F236" s="7" t="n"/>
      <c r="G236" s="7" t="n"/>
    </row>
    <row r="237">
      <c r="A237" s="7" t="n"/>
      <c r="F237" s="7" t="n"/>
      <c r="G237" s="7" t="n"/>
    </row>
    <row r="238">
      <c r="A238" s="7" t="n"/>
      <c r="F238" s="7" t="n"/>
      <c r="G238" s="7" t="n"/>
    </row>
    <row r="239">
      <c r="A239" s="7" t="n"/>
      <c r="F239" s="7" t="n"/>
      <c r="G239" s="7" t="n"/>
    </row>
    <row r="240">
      <c r="A240" s="7" t="n"/>
      <c r="F240" s="7" t="n"/>
      <c r="G240" s="7" t="n"/>
    </row>
    <row r="241">
      <c r="A241" s="7" t="n"/>
      <c r="F241" s="7" t="n"/>
      <c r="G241" s="7" t="n"/>
    </row>
    <row r="242">
      <c r="A242" s="7" t="n"/>
      <c r="F242" s="7" t="n"/>
      <c r="G242" s="7" t="n"/>
    </row>
    <row r="243">
      <c r="A243" s="7" t="n"/>
      <c r="F243" s="7" t="n"/>
      <c r="G243" s="7" t="n"/>
    </row>
    <row r="244">
      <c r="A244" s="7" t="n"/>
      <c r="F244" s="7" t="n"/>
      <c r="G244" s="7" t="n"/>
    </row>
    <row r="245">
      <c r="A245" s="7" t="n"/>
      <c r="F245" s="7" t="n"/>
      <c r="G245" s="7" t="n"/>
    </row>
    <row r="246">
      <c r="A246" s="7" t="n"/>
      <c r="F246" s="7" t="n"/>
      <c r="G246" s="7" t="n"/>
    </row>
    <row r="247">
      <c r="A247" s="7" t="n"/>
      <c r="F247" s="7" t="n"/>
      <c r="G247" s="7" t="n"/>
    </row>
    <row r="248">
      <c r="A248" s="7" t="n"/>
      <c r="F248" s="7" t="n"/>
      <c r="G248" s="7" t="n"/>
    </row>
    <row r="249">
      <c r="A249" s="7" t="n"/>
      <c r="F249" s="7" t="n"/>
      <c r="G249" s="7" t="n"/>
    </row>
    <row r="250">
      <c r="A250" s="7" t="n"/>
      <c r="F250" s="7" t="n"/>
      <c r="G250" s="7" t="n"/>
    </row>
    <row r="251">
      <c r="A251" s="7" t="n"/>
      <c r="F251" s="7" t="n"/>
      <c r="G251" s="7" t="n"/>
    </row>
    <row r="252">
      <c r="A252" s="7" t="n"/>
      <c r="F252" s="7" t="n"/>
      <c r="G252" s="7" t="n"/>
    </row>
    <row r="253">
      <c r="A253" s="7" t="n"/>
      <c r="F253" s="7" t="n"/>
      <c r="G253" s="7" t="n"/>
    </row>
    <row r="254">
      <c r="A254" s="7" t="n"/>
      <c r="F254" s="7" t="n"/>
      <c r="G254" s="7" t="n"/>
    </row>
    <row r="255">
      <c r="A255" s="7" t="n"/>
      <c r="F255" s="7" t="n"/>
      <c r="G255" s="7" t="n"/>
    </row>
    <row r="256">
      <c r="A256" s="7" t="n"/>
      <c r="F256" s="7" t="n"/>
      <c r="G256" s="7" t="n"/>
    </row>
    <row r="257">
      <c r="A257" s="7" t="n"/>
      <c r="F257" s="7" t="n"/>
      <c r="G257" s="7" t="n"/>
    </row>
    <row r="258">
      <c r="A258" s="7" t="n"/>
      <c r="F258" s="7" t="n"/>
      <c r="G258" s="7" t="n"/>
    </row>
    <row r="259">
      <c r="A259" s="7" t="n"/>
      <c r="F259" s="7" t="n"/>
      <c r="G259" s="7" t="n"/>
    </row>
    <row r="260">
      <c r="A260" s="7" t="n"/>
      <c r="F260" s="7" t="n"/>
      <c r="G260" s="7" t="n"/>
    </row>
    <row r="261">
      <c r="A261" s="7" t="n"/>
      <c r="F261" s="7" t="n"/>
      <c r="G261" s="7" t="n"/>
    </row>
    <row r="262">
      <c r="A262" s="7" t="n"/>
      <c r="F262" s="7" t="n"/>
      <c r="G262" s="7" t="n"/>
    </row>
    <row r="263">
      <c r="A263" s="7" t="n"/>
      <c r="F263" s="7" t="n"/>
      <c r="G263" s="7" t="n"/>
    </row>
    <row r="264">
      <c r="A264" s="7" t="n"/>
      <c r="F264" s="7" t="n"/>
      <c r="G264" s="7" t="n"/>
    </row>
    <row r="265">
      <c r="A265" s="7" t="n"/>
      <c r="F265" s="7" t="n"/>
      <c r="G265" s="7" t="n"/>
    </row>
    <row r="266">
      <c r="A266" s="7" t="n"/>
      <c r="F266" s="7" t="n"/>
      <c r="G266" s="7" t="n"/>
    </row>
    <row r="267">
      <c r="A267" s="7" t="n"/>
      <c r="F267" s="7" t="n"/>
      <c r="G267" s="7" t="n"/>
    </row>
    <row r="268">
      <c r="A268" s="7" t="n"/>
      <c r="F268" s="7" t="n"/>
      <c r="G268" s="7" t="n"/>
    </row>
    <row r="269">
      <c r="A269" s="7" t="n"/>
      <c r="F269" s="7" t="n"/>
      <c r="G269" s="7" t="n"/>
    </row>
    <row r="270">
      <c r="A270" s="7" t="n"/>
      <c r="F270" s="7" t="n"/>
      <c r="G270" s="7" t="n"/>
    </row>
    <row r="271">
      <c r="A271" s="7" t="n"/>
      <c r="F271" s="7" t="n"/>
      <c r="G271" s="7" t="n"/>
    </row>
    <row r="272">
      <c r="A272" s="7" t="n"/>
      <c r="F272" s="7" t="n"/>
      <c r="G272" s="7" t="n"/>
    </row>
    <row r="273">
      <c r="A273" s="7" t="n"/>
      <c r="F273" s="7" t="n"/>
      <c r="G273" s="7" t="n"/>
    </row>
    <row r="274">
      <c r="A274" s="7" t="n"/>
      <c r="F274" s="7" t="n"/>
      <c r="G274" s="7" t="n"/>
    </row>
    <row r="275">
      <c r="A275" s="7" t="n"/>
      <c r="F275" s="7" t="n"/>
      <c r="G275" s="7" t="n"/>
    </row>
    <row r="276">
      <c r="A276" s="7" t="n"/>
      <c r="F276" s="7" t="n"/>
      <c r="G276" s="7" t="n"/>
    </row>
    <row r="277">
      <c r="A277" s="7" t="n"/>
      <c r="F277" s="7" t="n"/>
      <c r="G277" s="7" t="n"/>
    </row>
    <row r="278">
      <c r="A278" s="7" t="n"/>
      <c r="F278" s="7" t="n"/>
      <c r="G278" s="7" t="n"/>
    </row>
    <row r="279">
      <c r="A279" s="7" t="n"/>
      <c r="F279" s="7" t="n"/>
      <c r="G279" s="7" t="n"/>
    </row>
    <row r="280">
      <c r="A280" s="7" t="n"/>
      <c r="F280" s="7" t="n"/>
      <c r="G280" s="7" t="n"/>
    </row>
    <row r="281">
      <c r="A281" s="7" t="n"/>
      <c r="F281" s="7" t="n"/>
      <c r="G281" s="7" t="n"/>
    </row>
    <row r="282">
      <c r="A282" s="7" t="n"/>
      <c r="F282" s="7" t="n"/>
      <c r="G282" s="7" t="n"/>
    </row>
    <row r="283">
      <c r="A283" s="7" t="n"/>
      <c r="F283" s="7" t="n"/>
      <c r="G283" s="7" t="n"/>
    </row>
    <row r="284">
      <c r="A284" s="7" t="n"/>
      <c r="F284" s="7" t="n"/>
      <c r="G284" s="7" t="n"/>
    </row>
    <row r="285">
      <c r="A285" s="7" t="n"/>
      <c r="F285" s="7" t="n"/>
      <c r="G285" s="7" t="n"/>
    </row>
    <row r="286">
      <c r="A286" s="7" t="n"/>
      <c r="F286" s="7" t="n"/>
      <c r="G286" s="7" t="n"/>
    </row>
    <row r="287">
      <c r="A287" s="7" t="n"/>
      <c r="F287" s="7" t="n"/>
      <c r="G287" s="7" t="n"/>
    </row>
    <row r="288">
      <c r="A288" s="7" t="n"/>
      <c r="F288" s="7" t="n"/>
      <c r="G288" s="7" t="n"/>
    </row>
    <row r="289">
      <c r="A289" s="7" t="n"/>
      <c r="F289" s="7" t="n"/>
      <c r="G289" s="7" t="n"/>
    </row>
    <row r="290">
      <c r="A290" s="7" t="n"/>
      <c r="F290" s="7" t="n"/>
      <c r="G290" s="7" t="n"/>
    </row>
    <row r="291">
      <c r="A291" s="7" t="n"/>
      <c r="F291" s="7" t="n"/>
      <c r="G291" s="7" t="n"/>
    </row>
    <row r="292">
      <c r="A292" s="7" t="n"/>
      <c r="F292" s="7" t="n"/>
      <c r="G292" s="7" t="n"/>
    </row>
    <row r="293">
      <c r="A293" s="7" t="n"/>
      <c r="F293" s="7" t="n"/>
      <c r="G293" s="7" t="n"/>
    </row>
    <row r="294">
      <c r="A294" s="7" t="n"/>
      <c r="F294" s="7" t="n"/>
      <c r="G294" s="7" t="n"/>
    </row>
    <row r="295">
      <c r="A295" s="7" t="n"/>
      <c r="F295" s="7" t="n"/>
      <c r="G295" s="7" t="n"/>
    </row>
    <row r="296">
      <c r="A296" s="7" t="n"/>
      <c r="F296" s="7" t="n"/>
      <c r="G296" s="7" t="n"/>
    </row>
    <row r="297">
      <c r="A297" s="7" t="n"/>
      <c r="F297" s="7" t="n"/>
      <c r="G297" s="7" t="n"/>
    </row>
    <row r="298">
      <c r="A298" s="7" t="n"/>
      <c r="F298" s="7" t="n"/>
      <c r="G298" s="7" t="n"/>
    </row>
    <row r="299">
      <c r="A299" s="7" t="n"/>
      <c r="F299" s="7" t="n"/>
      <c r="G299" s="7" t="n"/>
    </row>
    <row r="300">
      <c r="A300" s="7" t="n"/>
      <c r="F300" s="7" t="n"/>
      <c r="G300" s="7" t="n"/>
    </row>
    <row r="301">
      <c r="A301" s="7" t="n"/>
      <c r="F301" s="7" t="n"/>
      <c r="G301" s="7" t="n"/>
    </row>
    <row r="302">
      <c r="A302" s="7" t="n"/>
      <c r="F302" s="7" t="n"/>
      <c r="G302" s="7" t="n"/>
    </row>
    <row r="303">
      <c r="A303" s="7" t="n"/>
      <c r="F303" s="7" t="n"/>
      <c r="G303" s="7" t="n"/>
    </row>
    <row r="304">
      <c r="A304" s="7" t="n"/>
      <c r="F304" s="7" t="n"/>
      <c r="G304" s="7" t="n"/>
    </row>
    <row r="305">
      <c r="A305" s="7" t="n"/>
      <c r="F305" s="7" t="n"/>
      <c r="G305" s="7" t="n"/>
    </row>
    <row r="306">
      <c r="A306" s="7" t="n"/>
      <c r="F306" s="7" t="n"/>
      <c r="G306" s="7" t="n"/>
    </row>
    <row r="307">
      <c r="A307" s="7" t="n"/>
      <c r="F307" s="7" t="n"/>
      <c r="G307" s="7" t="n"/>
    </row>
    <row r="308">
      <c r="A308" s="7" t="n"/>
      <c r="F308" s="7" t="n"/>
      <c r="G308" s="7" t="n"/>
    </row>
    <row r="309">
      <c r="A309" s="7" t="n"/>
      <c r="F309" s="7" t="n"/>
      <c r="G309" s="7" t="n"/>
    </row>
    <row r="310">
      <c r="A310" s="7" t="n"/>
      <c r="F310" s="7" t="n"/>
      <c r="G310" s="7" t="n"/>
    </row>
    <row r="311">
      <c r="A311" s="7" t="n"/>
      <c r="F311" s="7" t="n"/>
      <c r="G311" s="7" t="n"/>
    </row>
    <row r="312">
      <c r="A312" s="7" t="n"/>
      <c r="F312" s="7" t="n"/>
      <c r="G312" s="7" t="n"/>
    </row>
    <row r="313">
      <c r="A313" s="7" t="n"/>
      <c r="F313" s="7" t="n"/>
      <c r="G313" s="7" t="n"/>
    </row>
    <row r="314">
      <c r="A314" s="7" t="n"/>
      <c r="F314" s="7" t="n"/>
      <c r="G314" s="7" t="n"/>
    </row>
    <row r="315">
      <c r="A315" s="7" t="n"/>
      <c r="F315" s="7" t="n"/>
      <c r="G315" s="7" t="n"/>
    </row>
    <row r="316">
      <c r="A316" s="7" t="n"/>
      <c r="F316" s="7" t="n"/>
      <c r="G316" s="7" t="n"/>
    </row>
    <row r="317">
      <c r="A317" s="7" t="n"/>
      <c r="F317" s="7" t="n"/>
      <c r="G317" s="7" t="n"/>
    </row>
    <row r="318">
      <c r="A318" s="7" t="n"/>
      <c r="F318" s="7" t="n"/>
      <c r="G318" s="7" t="n"/>
    </row>
    <row r="319">
      <c r="A319" s="7" t="n"/>
      <c r="F319" s="7" t="n"/>
      <c r="G319" s="7" t="n"/>
    </row>
    <row r="320">
      <c r="A320" s="7" t="n"/>
      <c r="F320" s="7" t="n"/>
      <c r="G320" s="7" t="n"/>
    </row>
    <row r="321">
      <c r="A321" s="7" t="n"/>
      <c r="F321" s="7" t="n"/>
      <c r="G321" s="7" t="n"/>
    </row>
    <row r="322">
      <c r="A322" s="7" t="n"/>
      <c r="F322" s="7" t="n"/>
      <c r="G322" s="7" t="n"/>
    </row>
    <row r="323">
      <c r="A323" s="7" t="n"/>
      <c r="F323" s="7" t="n"/>
      <c r="G323" s="7" t="n"/>
    </row>
    <row r="324">
      <c r="A324" s="7" t="n"/>
      <c r="F324" s="7" t="n"/>
      <c r="G324" s="7" t="n"/>
    </row>
    <row r="325">
      <c r="A325" s="7" t="n"/>
      <c r="F325" s="7" t="n"/>
      <c r="G325" s="7" t="n"/>
    </row>
    <row r="326">
      <c r="A326" s="7" t="n"/>
      <c r="F326" s="7" t="n"/>
      <c r="G326" s="7" t="n"/>
    </row>
    <row r="327">
      <c r="A327" s="7" t="n"/>
      <c r="F327" s="7" t="n"/>
      <c r="G327" s="7" t="n"/>
    </row>
    <row r="328">
      <c r="A328" s="7" t="n"/>
      <c r="F328" s="7" t="n"/>
      <c r="G328" s="7" t="n"/>
    </row>
    <row r="329">
      <c r="A329" s="7" t="n"/>
      <c r="F329" s="7" t="n"/>
      <c r="G329" s="7" t="n"/>
    </row>
    <row r="330">
      <c r="A330" s="7" t="n"/>
      <c r="F330" s="7" t="n"/>
      <c r="G330" s="7" t="n"/>
    </row>
    <row r="331">
      <c r="A331" s="7" t="n"/>
      <c r="F331" s="7" t="n"/>
      <c r="G331" s="7" t="n"/>
    </row>
    <row r="332">
      <c r="A332" s="7" t="n"/>
      <c r="F332" s="7" t="n"/>
      <c r="G332" s="7" t="n"/>
    </row>
    <row r="333">
      <c r="A333" s="7" t="n"/>
      <c r="F333" s="7" t="n"/>
      <c r="G333" s="7" t="n"/>
    </row>
    <row r="334">
      <c r="A334" s="7" t="n"/>
      <c r="F334" s="7" t="n"/>
      <c r="G334" s="7" t="n"/>
    </row>
    <row r="335">
      <c r="A335" s="7" t="n"/>
      <c r="F335" s="7" t="n"/>
      <c r="G335" s="7" t="n"/>
    </row>
    <row r="336">
      <c r="A336" s="7" t="n"/>
      <c r="F336" s="7" t="n"/>
      <c r="G336" s="7" t="n"/>
    </row>
    <row r="337">
      <c r="A337" s="7" t="n"/>
      <c r="F337" s="7" t="n"/>
      <c r="G337" s="7" t="n"/>
    </row>
    <row r="338">
      <c r="A338" s="7" t="n"/>
      <c r="F338" s="7" t="n"/>
      <c r="G338" s="7" t="n"/>
    </row>
    <row r="339">
      <c r="A339" s="7" t="n"/>
      <c r="F339" s="7" t="n"/>
      <c r="G339" s="7" t="n"/>
    </row>
    <row r="340">
      <c r="A340" s="7" t="n"/>
      <c r="F340" s="7" t="n"/>
      <c r="G340" s="7" t="n"/>
    </row>
    <row r="341">
      <c r="A341" s="7" t="n"/>
      <c r="F341" s="7" t="n"/>
      <c r="G341" s="7" t="n"/>
    </row>
    <row r="342">
      <c r="A342" s="7" t="n"/>
      <c r="F342" s="7" t="n"/>
      <c r="G342" s="7" t="n"/>
    </row>
    <row r="343">
      <c r="A343" s="7" t="n"/>
      <c r="F343" s="7" t="n"/>
      <c r="G343" s="7" t="n"/>
    </row>
    <row r="344">
      <c r="A344" s="7" t="n"/>
      <c r="F344" s="7" t="n"/>
      <c r="G344" s="7" t="n"/>
    </row>
    <row r="345">
      <c r="A345" s="7" t="n"/>
      <c r="F345" s="7" t="n"/>
      <c r="G345" s="7" t="n"/>
    </row>
    <row r="346">
      <c r="A346" s="7" t="n"/>
      <c r="F346" s="7" t="n"/>
      <c r="G346" s="7" t="n"/>
    </row>
    <row r="347">
      <c r="A347" s="7" t="n"/>
      <c r="F347" s="7" t="n"/>
      <c r="G347" s="7" t="n"/>
    </row>
    <row r="348">
      <c r="A348" s="7" t="n"/>
      <c r="F348" s="7" t="n"/>
      <c r="G348" s="7" t="n"/>
    </row>
    <row r="349">
      <c r="A349" s="7" t="n"/>
      <c r="F349" s="7" t="n"/>
      <c r="G349" s="7" t="n"/>
    </row>
    <row r="350">
      <c r="A350" s="7" t="n"/>
      <c r="F350" s="7" t="n"/>
      <c r="G350" s="7" t="n"/>
    </row>
    <row r="351">
      <c r="A351" s="7" t="n"/>
      <c r="F351" s="7" t="n"/>
      <c r="G351" s="7" t="n"/>
    </row>
    <row r="352">
      <c r="A352" s="7" t="n"/>
      <c r="F352" s="7" t="n"/>
      <c r="G352" s="7" t="n"/>
    </row>
    <row r="353">
      <c r="A353" s="7" t="n"/>
      <c r="F353" s="7" t="n"/>
      <c r="G353" s="7" t="n"/>
    </row>
    <row r="354">
      <c r="A354" s="7" t="n"/>
      <c r="F354" s="7" t="n"/>
      <c r="G354" s="7" t="n"/>
    </row>
    <row r="355">
      <c r="A355" s="7" t="n"/>
      <c r="F355" s="7" t="n"/>
      <c r="G355" s="7" t="n"/>
    </row>
    <row r="356">
      <c r="A356" s="7" t="n"/>
      <c r="F356" s="7" t="n"/>
      <c r="G356" s="7" t="n"/>
    </row>
    <row r="357">
      <c r="A357" s="7" t="n"/>
      <c r="F357" s="7" t="n"/>
      <c r="G357" s="7" t="n"/>
    </row>
    <row r="358">
      <c r="A358" s="7" t="n"/>
      <c r="F358" s="7" t="n"/>
      <c r="G358" s="7" t="n"/>
    </row>
    <row r="359">
      <c r="A359" s="7" t="n"/>
      <c r="F359" s="7" t="n"/>
      <c r="G359" s="7" t="n"/>
    </row>
    <row r="360">
      <c r="A360" s="7" t="n"/>
      <c r="F360" s="7" t="n"/>
      <c r="G360" s="7" t="n"/>
    </row>
    <row r="361">
      <c r="A361" s="7" t="n"/>
      <c r="F361" s="7" t="n"/>
      <c r="G361" s="7" t="n"/>
    </row>
    <row r="362">
      <c r="A362" s="7" t="n"/>
      <c r="F362" s="7" t="n"/>
      <c r="G362" s="7" t="n"/>
    </row>
    <row r="363">
      <c r="A363" s="7" t="n"/>
      <c r="F363" s="7" t="n"/>
      <c r="G363" s="7" t="n"/>
    </row>
    <row r="364">
      <c r="A364" s="7" t="n"/>
      <c r="F364" s="7" t="n"/>
      <c r="G364" s="7" t="n"/>
    </row>
    <row r="365">
      <c r="A365" s="7" t="n"/>
      <c r="F365" s="7" t="n"/>
      <c r="G365" s="7" t="n"/>
    </row>
    <row r="366">
      <c r="A366" s="7" t="n"/>
      <c r="F366" s="7" t="n"/>
      <c r="G366" s="7" t="n"/>
    </row>
    <row r="367">
      <c r="A367" s="7" t="n"/>
      <c r="F367" s="7" t="n"/>
      <c r="G367" s="7" t="n"/>
    </row>
    <row r="368">
      <c r="A368" s="7" t="n"/>
      <c r="F368" s="7" t="n"/>
      <c r="G368" s="7" t="n"/>
    </row>
    <row r="369">
      <c r="A369" s="7" t="n"/>
      <c r="F369" s="7" t="n"/>
      <c r="G369" s="7" t="n"/>
    </row>
    <row r="370">
      <c r="A370" s="7" t="n"/>
      <c r="F370" s="7" t="n"/>
      <c r="G370" s="7" t="n"/>
    </row>
    <row r="371">
      <c r="A371" s="7" t="n"/>
      <c r="F371" s="7" t="n"/>
      <c r="G371" s="7" t="n"/>
    </row>
    <row r="372">
      <c r="A372" s="7" t="n"/>
      <c r="F372" s="7" t="n"/>
      <c r="G372" s="7" t="n"/>
    </row>
    <row r="373">
      <c r="A373" s="7" t="n"/>
      <c r="F373" s="7" t="n"/>
      <c r="G373" s="7" t="n"/>
    </row>
    <row r="374">
      <c r="A374" s="7" t="n"/>
      <c r="F374" s="7" t="n"/>
      <c r="G374" s="7" t="n"/>
    </row>
    <row r="375">
      <c r="A375" s="7" t="n"/>
      <c r="F375" s="7" t="n"/>
      <c r="G375" s="7" t="n"/>
    </row>
    <row r="376">
      <c r="A376" s="7" t="n"/>
      <c r="F376" s="7" t="n"/>
      <c r="G376" s="7" t="n"/>
    </row>
    <row r="377">
      <c r="A377" s="7" t="n"/>
      <c r="F377" s="7" t="n"/>
      <c r="G377" s="7" t="n"/>
    </row>
    <row r="378">
      <c r="A378" s="7" t="n"/>
      <c r="F378" s="7" t="n"/>
      <c r="G378" s="7" t="n"/>
    </row>
    <row r="379">
      <c r="A379" s="7" t="n"/>
      <c r="F379" s="7" t="n"/>
      <c r="G379" s="7" t="n"/>
    </row>
    <row r="380">
      <c r="A380" s="7" t="n"/>
      <c r="F380" s="7" t="n"/>
      <c r="G380" s="7" t="n"/>
    </row>
    <row r="381">
      <c r="A381" s="7" t="n"/>
      <c r="F381" s="7" t="n"/>
      <c r="G381" s="7" t="n"/>
    </row>
    <row r="382">
      <c r="A382" s="7" t="n"/>
      <c r="F382" s="7" t="n"/>
      <c r="G382" s="7" t="n"/>
    </row>
    <row r="383">
      <c r="A383" s="7" t="n"/>
      <c r="F383" s="7" t="n"/>
      <c r="G383" s="7" t="n"/>
    </row>
    <row r="384">
      <c r="A384" s="7" t="n"/>
      <c r="F384" s="7" t="n"/>
      <c r="G384" s="7" t="n"/>
    </row>
    <row r="385">
      <c r="A385" s="7" t="n"/>
      <c r="F385" s="7" t="n"/>
      <c r="G385" s="7" t="n"/>
    </row>
    <row r="386">
      <c r="A386" s="7" t="n"/>
      <c r="F386" s="7" t="n"/>
      <c r="G386" s="7" t="n"/>
    </row>
    <row r="387">
      <c r="A387" s="7" t="n"/>
      <c r="F387" s="7" t="n"/>
      <c r="G387" s="7" t="n"/>
    </row>
    <row r="388">
      <c r="A388" s="7" t="n"/>
      <c r="F388" s="7" t="n"/>
      <c r="G388" s="7" t="n"/>
    </row>
    <row r="389">
      <c r="A389" s="7" t="n"/>
      <c r="F389" s="7" t="n"/>
      <c r="G389" s="7" t="n"/>
    </row>
    <row r="390">
      <c r="A390" s="7" t="n"/>
      <c r="F390" s="7" t="n"/>
      <c r="G390" s="7" t="n"/>
    </row>
    <row r="391">
      <c r="A391" s="7" t="n"/>
      <c r="F391" s="7" t="n"/>
      <c r="G391" s="7" t="n"/>
    </row>
    <row r="392">
      <c r="A392" s="7" t="n"/>
      <c r="F392" s="7" t="n"/>
      <c r="G392" s="7" t="n"/>
    </row>
    <row r="393">
      <c r="A393" s="7" t="n"/>
      <c r="F393" s="7" t="n"/>
      <c r="G393" s="7" t="n"/>
    </row>
    <row r="394">
      <c r="A394" s="7" t="n"/>
      <c r="F394" s="7" t="n"/>
      <c r="G394" s="7" t="n"/>
    </row>
    <row r="395">
      <c r="A395" s="7" t="n"/>
      <c r="F395" s="7" t="n"/>
      <c r="G395" s="7" t="n"/>
    </row>
    <row r="396">
      <c r="A396" s="7" t="n"/>
      <c r="F396" s="7" t="n"/>
      <c r="G396" s="7" t="n"/>
    </row>
    <row r="397">
      <c r="A397" s="7" t="n"/>
      <c r="F397" s="7" t="n"/>
      <c r="G397" s="7" t="n"/>
    </row>
    <row r="398">
      <c r="A398" s="7" t="n"/>
      <c r="F398" s="7" t="n"/>
      <c r="G398" s="7" t="n"/>
    </row>
    <row r="399">
      <c r="A399" s="7" t="n"/>
      <c r="F399" s="7" t="n"/>
      <c r="G399" s="7" t="n"/>
    </row>
    <row r="400">
      <c r="A400" s="7" t="n"/>
      <c r="F400" s="7" t="n"/>
      <c r="G400" s="7" t="n"/>
    </row>
    <row r="401">
      <c r="A401" s="7" t="n"/>
      <c r="F401" s="7" t="n"/>
      <c r="G401" s="7" t="n"/>
    </row>
    <row r="402">
      <c r="A402" s="7" t="n"/>
      <c r="F402" s="7" t="n"/>
      <c r="G402" s="7" t="n"/>
    </row>
    <row r="403">
      <c r="A403" s="7" t="n"/>
      <c r="F403" s="7" t="n"/>
      <c r="G403" s="7" t="n"/>
    </row>
    <row r="404">
      <c r="A404" s="7" t="n"/>
      <c r="F404" s="7" t="n"/>
      <c r="G404" s="7" t="n"/>
    </row>
    <row r="405">
      <c r="A405" s="7" t="n"/>
      <c r="F405" s="7" t="n"/>
      <c r="G405" s="7" t="n"/>
    </row>
    <row r="406">
      <c r="A406" s="7" t="n"/>
      <c r="F406" s="7" t="n"/>
      <c r="G406" s="7" t="n"/>
    </row>
    <row r="407">
      <c r="A407" s="7" t="n"/>
      <c r="F407" s="7" t="n"/>
      <c r="G407" s="7" t="n"/>
    </row>
    <row r="408">
      <c r="A408" s="7" t="n"/>
      <c r="F408" s="7" t="n"/>
      <c r="G408" s="7" t="n"/>
    </row>
    <row r="409">
      <c r="A409" s="7" t="n"/>
      <c r="F409" s="7" t="n"/>
      <c r="G409" s="7" t="n"/>
    </row>
    <row r="410">
      <c r="A410" s="7" t="n"/>
      <c r="F410" s="7" t="n"/>
      <c r="G410" s="7" t="n"/>
    </row>
    <row r="411">
      <c r="A411" s="7" t="n"/>
      <c r="F411" s="7" t="n"/>
      <c r="G411" s="7" t="n"/>
    </row>
    <row r="412">
      <c r="A412" s="7" t="n"/>
      <c r="F412" s="7" t="n"/>
      <c r="G412" s="7" t="n"/>
    </row>
    <row r="413">
      <c r="A413" s="7" t="n"/>
      <c r="F413" s="7" t="n"/>
      <c r="G413" s="7" t="n"/>
    </row>
    <row r="414">
      <c r="A414" s="7" t="n"/>
      <c r="F414" s="7" t="n"/>
      <c r="G414" s="7" t="n"/>
    </row>
    <row r="415">
      <c r="A415" s="7" t="n"/>
      <c r="F415" s="7" t="n"/>
      <c r="G415" s="7" t="n"/>
    </row>
    <row r="416">
      <c r="A416" s="7" t="n"/>
      <c r="F416" s="7" t="n"/>
      <c r="G416" s="7" t="n"/>
    </row>
    <row r="417">
      <c r="A417" s="7" t="n"/>
      <c r="F417" s="7" t="n"/>
      <c r="G417" s="7" t="n"/>
    </row>
    <row r="418">
      <c r="A418" s="7" t="n"/>
      <c r="F418" s="7" t="n"/>
      <c r="G418" s="7" t="n"/>
    </row>
    <row r="419">
      <c r="A419" s="7" t="n"/>
      <c r="F419" s="7" t="n"/>
      <c r="G419" s="7" t="n"/>
    </row>
    <row r="420">
      <c r="A420" s="7" t="n"/>
      <c r="F420" s="7" t="n"/>
      <c r="G420" s="7" t="n"/>
    </row>
    <row r="421">
      <c r="A421" s="7" t="n"/>
      <c r="F421" s="7" t="n"/>
      <c r="G421" s="7" t="n"/>
    </row>
    <row r="422">
      <c r="A422" s="7" t="n"/>
      <c r="F422" s="7" t="n"/>
      <c r="G422" s="7" t="n"/>
    </row>
    <row r="423">
      <c r="A423" s="7" t="n"/>
      <c r="F423" s="7" t="n"/>
      <c r="G423" s="7" t="n"/>
    </row>
    <row r="424">
      <c r="A424" s="7" t="n"/>
      <c r="F424" s="7" t="n"/>
      <c r="G424" s="7" t="n"/>
    </row>
    <row r="425">
      <c r="A425" s="7" t="n"/>
      <c r="F425" s="7" t="n"/>
      <c r="G425" s="7" t="n"/>
    </row>
    <row r="426">
      <c r="A426" s="7" t="n"/>
      <c r="F426" s="7" t="n"/>
      <c r="G426" s="7" t="n"/>
    </row>
    <row r="427">
      <c r="A427" s="7" t="n"/>
      <c r="F427" s="7" t="n"/>
      <c r="G427" s="7" t="n"/>
    </row>
    <row r="428">
      <c r="A428" s="7" t="n"/>
      <c r="F428" s="7" t="n"/>
      <c r="G428" s="7" t="n"/>
    </row>
    <row r="429">
      <c r="A429" s="7" t="n"/>
      <c r="F429" s="7" t="n"/>
      <c r="G429" s="7" t="n"/>
    </row>
    <row r="430">
      <c r="A430" s="7" t="n"/>
      <c r="F430" s="7" t="n"/>
      <c r="G430" s="7" t="n"/>
    </row>
    <row r="431">
      <c r="A431" s="7" t="n"/>
      <c r="F431" s="7" t="n"/>
      <c r="G431" s="7" t="n"/>
    </row>
    <row r="432">
      <c r="A432" s="7" t="n"/>
      <c r="F432" s="7" t="n"/>
      <c r="G432" s="7" t="n"/>
    </row>
    <row r="433">
      <c r="A433" s="7" t="n"/>
      <c r="F433" s="7" t="n"/>
      <c r="G433" s="7" t="n"/>
    </row>
    <row r="434">
      <c r="A434" s="7" t="n"/>
      <c r="F434" s="7" t="n"/>
      <c r="G434" s="7" t="n"/>
    </row>
    <row r="435">
      <c r="A435" s="7" t="n"/>
      <c r="F435" s="7" t="n"/>
      <c r="G435" s="7" t="n"/>
    </row>
    <row r="436">
      <c r="A436" s="7" t="n"/>
      <c r="F436" s="7" t="n"/>
      <c r="G436" s="7" t="n"/>
    </row>
    <row r="437">
      <c r="A437" s="7" t="n"/>
      <c r="F437" s="7" t="n"/>
      <c r="G437" s="7" t="n"/>
    </row>
    <row r="438">
      <c r="A438" s="7" t="n"/>
      <c r="F438" s="7" t="n"/>
      <c r="G438" s="7" t="n"/>
    </row>
    <row r="439">
      <c r="A439" s="7" t="n"/>
      <c r="F439" s="7" t="n"/>
      <c r="G439" s="7" t="n"/>
    </row>
    <row r="440">
      <c r="A440" s="7" t="n"/>
      <c r="F440" s="7" t="n"/>
      <c r="G440" s="7" t="n"/>
    </row>
    <row r="441">
      <c r="A441" s="7" t="n"/>
      <c r="F441" s="7" t="n"/>
      <c r="G441" s="7" t="n"/>
    </row>
    <row r="442">
      <c r="A442" s="7" t="n"/>
      <c r="F442" s="7" t="n"/>
      <c r="G442" s="7" t="n"/>
    </row>
    <row r="443">
      <c r="A443" s="7" t="n"/>
      <c r="F443" s="7" t="n"/>
      <c r="G443" s="7" t="n"/>
    </row>
    <row r="444">
      <c r="A444" s="7" t="n"/>
      <c r="F444" s="7" t="n"/>
      <c r="G444" s="7" t="n"/>
    </row>
    <row r="445">
      <c r="A445" s="7" t="n"/>
      <c r="F445" s="7" t="n"/>
      <c r="G445" s="7" t="n"/>
    </row>
    <row r="446">
      <c r="A446" s="7" t="n"/>
      <c r="F446" s="7" t="n"/>
      <c r="G446" s="7" t="n"/>
    </row>
    <row r="447">
      <c r="A447" s="7" t="n"/>
      <c r="F447" s="7" t="n"/>
      <c r="G447" s="7" t="n"/>
    </row>
    <row r="448">
      <c r="A448" s="7" t="n"/>
      <c r="F448" s="7" t="n"/>
      <c r="G448" s="7" t="n"/>
    </row>
    <row r="449">
      <c r="A449" s="7" t="n"/>
      <c r="F449" s="7" t="n"/>
      <c r="G449" s="7" t="n"/>
    </row>
    <row r="450">
      <c r="A450" s="7" t="n"/>
      <c r="F450" s="7" t="n"/>
      <c r="G450" s="7" t="n"/>
    </row>
    <row r="451">
      <c r="A451" s="7" t="n"/>
      <c r="F451" s="7" t="n"/>
      <c r="G451" s="7" t="n"/>
    </row>
    <row r="452">
      <c r="A452" s="7" t="n"/>
      <c r="F452" s="7" t="n"/>
      <c r="G452" s="7" t="n"/>
    </row>
    <row r="453">
      <c r="A453" s="7" t="n"/>
      <c r="F453" s="7" t="n"/>
      <c r="G453" s="7" t="n"/>
    </row>
    <row r="454">
      <c r="A454" s="7" t="n"/>
      <c r="F454" s="7" t="n"/>
      <c r="G454" s="7" t="n"/>
    </row>
    <row r="455">
      <c r="A455" s="7" t="n"/>
      <c r="F455" s="7" t="n"/>
      <c r="G455" s="7" t="n"/>
    </row>
    <row r="456">
      <c r="A456" s="7" t="n"/>
      <c r="F456" s="7" t="n"/>
      <c r="G456" s="7" t="n"/>
    </row>
    <row r="457">
      <c r="A457" s="7" t="n"/>
      <c r="F457" s="7" t="n"/>
      <c r="G457" s="7" t="n"/>
    </row>
    <row r="458">
      <c r="A458" s="7" t="n"/>
      <c r="F458" s="7" t="n"/>
      <c r="G458" s="7" t="n"/>
    </row>
    <row r="459">
      <c r="A459" s="7" t="n"/>
      <c r="F459" s="7" t="n"/>
      <c r="G459" s="7" t="n"/>
    </row>
    <row r="460">
      <c r="A460" s="7" t="n"/>
      <c r="F460" s="7" t="n"/>
      <c r="G460" s="7" t="n"/>
    </row>
    <row r="461">
      <c r="A461" s="7" t="n"/>
      <c r="F461" s="7" t="n"/>
      <c r="G461" s="7" t="n"/>
    </row>
    <row r="462">
      <c r="A462" s="7" t="n"/>
      <c r="F462" s="7" t="n"/>
      <c r="G462" s="7" t="n"/>
    </row>
    <row r="463">
      <c r="A463" s="7" t="n"/>
      <c r="F463" s="7" t="n"/>
      <c r="G463" s="7" t="n"/>
    </row>
    <row r="464">
      <c r="A464" s="7" t="n"/>
      <c r="F464" s="7" t="n"/>
      <c r="G464" s="7" t="n"/>
    </row>
    <row r="465">
      <c r="A465" s="7" t="n"/>
      <c r="F465" s="7" t="n"/>
      <c r="G465" s="7" t="n"/>
    </row>
    <row r="466">
      <c r="A466" s="7" t="n"/>
      <c r="F466" s="7" t="n"/>
      <c r="G466" s="7" t="n"/>
    </row>
    <row r="467">
      <c r="A467" s="7" t="n"/>
      <c r="F467" s="7" t="n"/>
      <c r="G467" s="7" t="n"/>
    </row>
    <row r="468">
      <c r="A468" s="7" t="n"/>
      <c r="F468" s="7" t="n"/>
      <c r="G468" s="7" t="n"/>
    </row>
    <row r="469">
      <c r="A469" s="7" t="n"/>
      <c r="F469" s="7" t="n"/>
      <c r="G469" s="7" t="n"/>
    </row>
    <row r="470">
      <c r="A470" s="7" t="n"/>
      <c r="F470" s="7" t="n"/>
      <c r="G470" s="7" t="n"/>
    </row>
    <row r="471">
      <c r="A471" s="7" t="n"/>
      <c r="F471" s="7" t="n"/>
      <c r="G471" s="7" t="n"/>
    </row>
    <row r="472">
      <c r="A472" s="7" t="n"/>
      <c r="F472" s="7" t="n"/>
      <c r="G472" s="7" t="n"/>
    </row>
    <row r="473">
      <c r="A473" s="7" t="n"/>
      <c r="F473" s="7" t="n"/>
      <c r="G473" s="7" t="n"/>
    </row>
    <row r="474">
      <c r="A474" s="7" t="n"/>
      <c r="F474" s="7" t="n"/>
      <c r="G474" s="7" t="n"/>
    </row>
    <row r="475">
      <c r="A475" s="7" t="n"/>
      <c r="F475" s="7" t="n"/>
      <c r="G475" s="7" t="n"/>
    </row>
    <row r="476">
      <c r="A476" s="7" t="n"/>
      <c r="F476" s="7" t="n"/>
      <c r="G476" s="7" t="n"/>
    </row>
    <row r="477">
      <c r="A477" s="7" t="n"/>
      <c r="F477" s="7" t="n"/>
      <c r="G477" s="7" t="n"/>
    </row>
    <row r="478">
      <c r="A478" s="7" t="n"/>
      <c r="F478" s="7" t="n"/>
      <c r="G478" s="7" t="n"/>
    </row>
    <row r="479">
      <c r="A479" s="7" t="n"/>
      <c r="F479" s="7" t="n"/>
      <c r="G479" s="7" t="n"/>
    </row>
    <row r="480">
      <c r="A480" s="7" t="n"/>
      <c r="F480" s="7" t="n"/>
      <c r="G480" s="7" t="n"/>
    </row>
    <row r="481">
      <c r="A481" s="7" t="n"/>
      <c r="F481" s="7" t="n"/>
      <c r="G481" s="7" t="n"/>
    </row>
    <row r="482">
      <c r="A482" s="7" t="n"/>
      <c r="F482" s="7" t="n"/>
      <c r="G482" s="7" t="n"/>
    </row>
    <row r="483">
      <c r="A483" s="7" t="n"/>
      <c r="F483" s="7" t="n"/>
      <c r="G483" s="7" t="n"/>
    </row>
    <row r="484">
      <c r="A484" s="7" t="n"/>
      <c r="F484" s="7" t="n"/>
      <c r="G484" s="7" t="n"/>
    </row>
    <row r="485">
      <c r="A485" s="7" t="n"/>
      <c r="F485" s="7" t="n"/>
      <c r="G485" s="7" t="n"/>
    </row>
    <row r="486">
      <c r="A486" s="7" t="n"/>
      <c r="F486" s="7" t="n"/>
      <c r="G486" s="7" t="n"/>
    </row>
    <row r="487">
      <c r="A487" s="7" t="n"/>
      <c r="F487" s="7" t="n"/>
      <c r="G487" s="7" t="n"/>
    </row>
    <row r="488">
      <c r="A488" s="7" t="n"/>
      <c r="F488" s="7" t="n"/>
      <c r="G488" s="7" t="n"/>
    </row>
    <row r="489">
      <c r="A489" s="7" t="n"/>
      <c r="F489" s="7" t="n"/>
      <c r="G489" s="7" t="n"/>
    </row>
    <row r="490">
      <c r="A490" s="7" t="n"/>
      <c r="F490" s="7" t="n"/>
      <c r="G490" s="7" t="n"/>
    </row>
    <row r="491">
      <c r="A491" s="7" t="n"/>
      <c r="F491" s="7" t="n"/>
      <c r="G491" s="7" t="n"/>
    </row>
    <row r="492">
      <c r="A492" s="7" t="n"/>
      <c r="F492" s="7" t="n"/>
      <c r="G492" s="7" t="n"/>
    </row>
    <row r="493">
      <c r="A493" s="7" t="n"/>
      <c r="F493" s="7" t="n"/>
      <c r="G493" s="7" t="n"/>
    </row>
    <row r="494">
      <c r="A494" s="7" t="n"/>
      <c r="F494" s="7" t="n"/>
      <c r="G494" s="7" t="n"/>
    </row>
    <row r="495">
      <c r="A495" s="7" t="n"/>
      <c r="F495" s="7" t="n"/>
      <c r="G495" s="7" t="n"/>
    </row>
    <row r="496">
      <c r="A496" s="7" t="n"/>
      <c r="F496" s="7" t="n"/>
      <c r="G496" s="7" t="n"/>
    </row>
    <row r="497">
      <c r="A497" s="7" t="n"/>
      <c r="F497" s="7" t="n"/>
      <c r="G497" s="7" t="n"/>
    </row>
    <row r="498">
      <c r="A498" s="7" t="n"/>
      <c r="F498" s="7" t="n"/>
      <c r="G498" s="7" t="n"/>
    </row>
    <row r="499">
      <c r="A499" s="7" t="n"/>
      <c r="F499" s="7" t="n"/>
      <c r="G499" s="7" t="n"/>
    </row>
    <row r="500">
      <c r="A500" s="7" t="n"/>
      <c r="F500" s="7" t="n"/>
      <c r="G500" s="7" t="n"/>
    </row>
    <row r="501">
      <c r="A501" s="7" t="n"/>
      <c r="F501" s="7" t="n"/>
      <c r="G501" s="7" t="n"/>
    </row>
  </sheetData>
  <dataValidations count="2">
    <dataValidation sqref="B2:B501" showDropDown="0" showInputMessage="0" showErrorMessage="0" allowBlank="1" type="list">
      <formula1>"Recent job,Seasonal tip,Offer,Other"</formula1>
    </dataValidation>
    <dataValidation sqref="E2:E501" showDropDown="0" showInputMessage="0" showErrorMessage="0" allowBlank="1" type="list">
      <formula1>"Yes,No,Not needed"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3" customWidth="1" min="4" max="4"/>
    <col width="15" customWidth="1" min="5" max="5"/>
    <col width="60" customWidth="1" min="6" max="6"/>
    <col width="13" customWidth="1" min="7" max="7"/>
    <col width="30" customWidth="1" min="8" max="8"/>
  </cols>
  <sheetData>
    <row r="1" ht="36" customHeight="1">
      <c r="A1" s="3" t="inlineStr">
        <is>
          <t>Review date</t>
        </is>
      </c>
      <c r="B1" s="3" t="inlineStr">
        <is>
          <t>Reviewer</t>
        </is>
      </c>
      <c r="C1" s="3" t="inlineStr">
        <is>
          <t>Stars</t>
        </is>
      </c>
      <c r="D1" s="3" t="inlineStr">
        <is>
          <t>Alert sent to owner</t>
        </is>
      </c>
      <c r="E1" s="3" t="inlineStr">
        <is>
          <t>Ask owner first?</t>
        </is>
      </c>
      <c r="F1" s="3" t="inlineStr">
        <is>
          <t>Reply</t>
        </is>
      </c>
      <c r="G1" s="3" t="inlineStr">
        <is>
          <t>Replied on</t>
        </is>
      </c>
      <c r="H1" s="3" t="inlineStr">
        <is>
          <t>Notes</t>
        </is>
      </c>
    </row>
    <row r="2">
      <c r="A2" s="7" t="n"/>
      <c r="D2" s="7" t="n"/>
      <c r="E2">
        <f>IF(C2="","",IF(C2&lt;=2,"Yes","No"))</f>
        <v/>
      </c>
      <c r="G2" s="7" t="n"/>
    </row>
    <row r="3">
      <c r="A3" s="7" t="n"/>
      <c r="D3" s="7" t="n"/>
      <c r="E3">
        <f>IF(C3="","",IF(C3&lt;=2,"Yes","No"))</f>
        <v/>
      </c>
      <c r="G3" s="7" t="n"/>
    </row>
    <row r="4">
      <c r="A4" s="7" t="n"/>
      <c r="D4" s="7" t="n"/>
      <c r="E4">
        <f>IF(C4="","",IF(C4&lt;=2,"Yes","No"))</f>
        <v/>
      </c>
      <c r="G4" s="7" t="n"/>
    </row>
    <row r="5">
      <c r="A5" s="7" t="n"/>
      <c r="D5" s="7" t="n"/>
      <c r="E5">
        <f>IF(C5="","",IF(C5&lt;=2,"Yes","No"))</f>
        <v/>
      </c>
      <c r="G5" s="7" t="n"/>
    </row>
    <row r="6">
      <c r="A6" s="7" t="n"/>
      <c r="D6" s="7" t="n"/>
      <c r="E6">
        <f>IF(C6="","",IF(C6&lt;=2,"Yes","No"))</f>
        <v/>
      </c>
      <c r="G6" s="7" t="n"/>
    </row>
    <row r="7">
      <c r="A7" s="7" t="n"/>
      <c r="D7" s="7" t="n"/>
      <c r="E7">
        <f>IF(C7="","",IF(C7&lt;=2,"Yes","No"))</f>
        <v/>
      </c>
      <c r="G7" s="7" t="n"/>
    </row>
    <row r="8">
      <c r="A8" s="7" t="n"/>
      <c r="D8" s="7" t="n"/>
      <c r="E8">
        <f>IF(C8="","",IF(C8&lt;=2,"Yes","No"))</f>
        <v/>
      </c>
      <c r="G8" s="7" t="n"/>
    </row>
    <row r="9">
      <c r="A9" s="7" t="n"/>
      <c r="D9" s="7" t="n"/>
      <c r="E9">
        <f>IF(C9="","",IF(C9&lt;=2,"Yes","No"))</f>
        <v/>
      </c>
      <c r="G9" s="7" t="n"/>
    </row>
    <row r="10">
      <c r="A10" s="7" t="n"/>
      <c r="D10" s="7" t="n"/>
      <c r="E10">
        <f>IF(C10="","",IF(C10&lt;=2,"Yes","No"))</f>
        <v/>
      </c>
      <c r="G10" s="7" t="n"/>
    </row>
    <row r="11">
      <c r="A11" s="7" t="n"/>
      <c r="D11" s="7" t="n"/>
      <c r="E11">
        <f>IF(C11="","",IF(C11&lt;=2,"Yes","No"))</f>
        <v/>
      </c>
      <c r="G11" s="7" t="n"/>
    </row>
    <row r="12">
      <c r="A12" s="7" t="n"/>
      <c r="D12" s="7" t="n"/>
      <c r="E12">
        <f>IF(C12="","",IF(C12&lt;=2,"Yes","No"))</f>
        <v/>
      </c>
      <c r="G12" s="7" t="n"/>
    </row>
    <row r="13">
      <c r="A13" s="7" t="n"/>
      <c r="D13" s="7" t="n"/>
      <c r="E13">
        <f>IF(C13="","",IF(C13&lt;=2,"Yes","No"))</f>
        <v/>
      </c>
      <c r="G13" s="7" t="n"/>
    </row>
    <row r="14">
      <c r="A14" s="7" t="n"/>
      <c r="D14" s="7" t="n"/>
      <c r="E14">
        <f>IF(C14="","",IF(C14&lt;=2,"Yes","No"))</f>
        <v/>
      </c>
      <c r="G14" s="7" t="n"/>
    </row>
    <row r="15">
      <c r="A15" s="7" t="n"/>
      <c r="D15" s="7" t="n"/>
      <c r="E15">
        <f>IF(C15="","",IF(C15&lt;=2,"Yes","No"))</f>
        <v/>
      </c>
      <c r="G15" s="7" t="n"/>
    </row>
    <row r="16">
      <c r="A16" s="7" t="n"/>
      <c r="D16" s="7" t="n"/>
      <c r="E16">
        <f>IF(C16="","",IF(C16&lt;=2,"Yes","No"))</f>
        <v/>
      </c>
      <c r="G16" s="7" t="n"/>
    </row>
    <row r="17">
      <c r="A17" s="7" t="n"/>
      <c r="D17" s="7" t="n"/>
      <c r="E17">
        <f>IF(C17="","",IF(C17&lt;=2,"Yes","No"))</f>
        <v/>
      </c>
      <c r="G17" s="7" t="n"/>
    </row>
    <row r="18">
      <c r="A18" s="7" t="n"/>
      <c r="D18" s="7" t="n"/>
      <c r="E18">
        <f>IF(C18="","",IF(C18&lt;=2,"Yes","No"))</f>
        <v/>
      </c>
      <c r="G18" s="7" t="n"/>
    </row>
    <row r="19">
      <c r="A19" s="7" t="n"/>
      <c r="D19" s="7" t="n"/>
      <c r="E19">
        <f>IF(C19="","",IF(C19&lt;=2,"Yes","No"))</f>
        <v/>
      </c>
      <c r="G19" s="7" t="n"/>
    </row>
    <row r="20">
      <c r="A20" s="7" t="n"/>
      <c r="D20" s="7" t="n"/>
      <c r="E20">
        <f>IF(C20="","",IF(C20&lt;=2,"Yes","No"))</f>
        <v/>
      </c>
      <c r="G20" s="7" t="n"/>
    </row>
    <row r="21">
      <c r="A21" s="7" t="n"/>
      <c r="D21" s="7" t="n"/>
      <c r="E21">
        <f>IF(C21="","",IF(C21&lt;=2,"Yes","No"))</f>
        <v/>
      </c>
      <c r="G21" s="7" t="n"/>
    </row>
    <row r="22">
      <c r="A22" s="7" t="n"/>
      <c r="D22" s="7" t="n"/>
      <c r="E22">
        <f>IF(C22="","",IF(C22&lt;=2,"Yes","No"))</f>
        <v/>
      </c>
      <c r="G22" s="7" t="n"/>
    </row>
    <row r="23">
      <c r="A23" s="7" t="n"/>
      <c r="D23" s="7" t="n"/>
      <c r="E23">
        <f>IF(C23="","",IF(C23&lt;=2,"Yes","No"))</f>
        <v/>
      </c>
      <c r="G23" s="7" t="n"/>
    </row>
    <row r="24">
      <c r="A24" s="7" t="n"/>
      <c r="D24" s="7" t="n"/>
      <c r="E24">
        <f>IF(C24="","",IF(C24&lt;=2,"Yes","No"))</f>
        <v/>
      </c>
      <c r="G24" s="7" t="n"/>
    </row>
    <row r="25">
      <c r="A25" s="7" t="n"/>
      <c r="D25" s="7" t="n"/>
      <c r="E25">
        <f>IF(C25="","",IF(C25&lt;=2,"Yes","No"))</f>
        <v/>
      </c>
      <c r="G25" s="7" t="n"/>
    </row>
    <row r="26">
      <c r="A26" s="7" t="n"/>
      <c r="D26" s="7" t="n"/>
      <c r="E26">
        <f>IF(C26="","",IF(C26&lt;=2,"Yes","No"))</f>
        <v/>
      </c>
      <c r="G26" s="7" t="n"/>
    </row>
    <row r="27">
      <c r="A27" s="7" t="n"/>
      <c r="D27" s="7" t="n"/>
      <c r="E27">
        <f>IF(C27="","",IF(C27&lt;=2,"Yes","No"))</f>
        <v/>
      </c>
      <c r="G27" s="7" t="n"/>
    </row>
    <row r="28">
      <c r="A28" s="7" t="n"/>
      <c r="D28" s="7" t="n"/>
      <c r="E28">
        <f>IF(C28="","",IF(C28&lt;=2,"Yes","No"))</f>
        <v/>
      </c>
      <c r="G28" s="7" t="n"/>
    </row>
    <row r="29">
      <c r="A29" s="7" t="n"/>
      <c r="D29" s="7" t="n"/>
      <c r="E29">
        <f>IF(C29="","",IF(C29&lt;=2,"Yes","No"))</f>
        <v/>
      </c>
      <c r="G29" s="7" t="n"/>
    </row>
    <row r="30">
      <c r="A30" s="7" t="n"/>
      <c r="D30" s="7" t="n"/>
      <c r="E30">
        <f>IF(C30="","",IF(C30&lt;=2,"Yes","No"))</f>
        <v/>
      </c>
      <c r="G30" s="7" t="n"/>
    </row>
    <row r="31">
      <c r="A31" s="7" t="n"/>
      <c r="D31" s="7" t="n"/>
      <c r="E31">
        <f>IF(C31="","",IF(C31&lt;=2,"Yes","No"))</f>
        <v/>
      </c>
      <c r="G31" s="7" t="n"/>
    </row>
    <row r="32">
      <c r="A32" s="7" t="n"/>
      <c r="D32" s="7" t="n"/>
      <c r="E32">
        <f>IF(C32="","",IF(C32&lt;=2,"Yes","No"))</f>
        <v/>
      </c>
      <c r="G32" s="7" t="n"/>
    </row>
    <row r="33">
      <c r="A33" s="7" t="n"/>
      <c r="D33" s="7" t="n"/>
      <c r="E33">
        <f>IF(C33="","",IF(C33&lt;=2,"Yes","No"))</f>
        <v/>
      </c>
      <c r="G33" s="7" t="n"/>
    </row>
    <row r="34">
      <c r="A34" s="7" t="n"/>
      <c r="D34" s="7" t="n"/>
      <c r="E34">
        <f>IF(C34="","",IF(C34&lt;=2,"Yes","No"))</f>
        <v/>
      </c>
      <c r="G34" s="7" t="n"/>
    </row>
    <row r="35">
      <c r="A35" s="7" t="n"/>
      <c r="D35" s="7" t="n"/>
      <c r="E35">
        <f>IF(C35="","",IF(C35&lt;=2,"Yes","No"))</f>
        <v/>
      </c>
      <c r="G35" s="7" t="n"/>
    </row>
    <row r="36">
      <c r="A36" s="7" t="n"/>
      <c r="D36" s="7" t="n"/>
      <c r="E36">
        <f>IF(C36="","",IF(C36&lt;=2,"Yes","No"))</f>
        <v/>
      </c>
      <c r="G36" s="7" t="n"/>
    </row>
    <row r="37">
      <c r="A37" s="7" t="n"/>
      <c r="D37" s="7" t="n"/>
      <c r="E37">
        <f>IF(C37="","",IF(C37&lt;=2,"Yes","No"))</f>
        <v/>
      </c>
      <c r="G37" s="7" t="n"/>
    </row>
    <row r="38">
      <c r="A38" s="7" t="n"/>
      <c r="D38" s="7" t="n"/>
      <c r="E38">
        <f>IF(C38="","",IF(C38&lt;=2,"Yes","No"))</f>
        <v/>
      </c>
      <c r="G38" s="7" t="n"/>
    </row>
    <row r="39">
      <c r="A39" s="7" t="n"/>
      <c r="D39" s="7" t="n"/>
      <c r="E39">
        <f>IF(C39="","",IF(C39&lt;=2,"Yes","No"))</f>
        <v/>
      </c>
      <c r="G39" s="7" t="n"/>
    </row>
    <row r="40">
      <c r="A40" s="7" t="n"/>
      <c r="D40" s="7" t="n"/>
      <c r="E40">
        <f>IF(C40="","",IF(C40&lt;=2,"Yes","No"))</f>
        <v/>
      </c>
      <c r="G40" s="7" t="n"/>
    </row>
    <row r="41">
      <c r="A41" s="7" t="n"/>
      <c r="D41" s="7" t="n"/>
      <c r="E41">
        <f>IF(C41="","",IF(C41&lt;=2,"Yes","No"))</f>
        <v/>
      </c>
      <c r="G41" s="7" t="n"/>
    </row>
    <row r="42">
      <c r="A42" s="7" t="n"/>
      <c r="D42" s="7" t="n"/>
      <c r="E42">
        <f>IF(C42="","",IF(C42&lt;=2,"Yes","No"))</f>
        <v/>
      </c>
      <c r="G42" s="7" t="n"/>
    </row>
    <row r="43">
      <c r="A43" s="7" t="n"/>
      <c r="D43" s="7" t="n"/>
      <c r="E43">
        <f>IF(C43="","",IF(C43&lt;=2,"Yes","No"))</f>
        <v/>
      </c>
      <c r="G43" s="7" t="n"/>
    </row>
    <row r="44">
      <c r="A44" s="7" t="n"/>
      <c r="D44" s="7" t="n"/>
      <c r="E44">
        <f>IF(C44="","",IF(C44&lt;=2,"Yes","No"))</f>
        <v/>
      </c>
      <c r="G44" s="7" t="n"/>
    </row>
    <row r="45">
      <c r="A45" s="7" t="n"/>
      <c r="D45" s="7" t="n"/>
      <c r="E45">
        <f>IF(C45="","",IF(C45&lt;=2,"Yes","No"))</f>
        <v/>
      </c>
      <c r="G45" s="7" t="n"/>
    </row>
    <row r="46">
      <c r="A46" s="7" t="n"/>
      <c r="D46" s="7" t="n"/>
      <c r="E46">
        <f>IF(C46="","",IF(C46&lt;=2,"Yes","No"))</f>
        <v/>
      </c>
      <c r="G46" s="7" t="n"/>
    </row>
    <row r="47">
      <c r="A47" s="7" t="n"/>
      <c r="D47" s="7" t="n"/>
      <c r="E47">
        <f>IF(C47="","",IF(C47&lt;=2,"Yes","No"))</f>
        <v/>
      </c>
      <c r="G47" s="7" t="n"/>
    </row>
    <row r="48">
      <c r="A48" s="7" t="n"/>
      <c r="D48" s="7" t="n"/>
      <c r="E48">
        <f>IF(C48="","",IF(C48&lt;=2,"Yes","No"))</f>
        <v/>
      </c>
      <c r="G48" s="7" t="n"/>
    </row>
    <row r="49">
      <c r="A49" s="7" t="n"/>
      <c r="D49" s="7" t="n"/>
      <c r="E49">
        <f>IF(C49="","",IF(C49&lt;=2,"Yes","No"))</f>
        <v/>
      </c>
      <c r="G49" s="7" t="n"/>
    </row>
    <row r="50">
      <c r="A50" s="7" t="n"/>
      <c r="D50" s="7" t="n"/>
      <c r="E50">
        <f>IF(C50="","",IF(C50&lt;=2,"Yes","No"))</f>
        <v/>
      </c>
      <c r="G50" s="7" t="n"/>
    </row>
    <row r="51">
      <c r="A51" s="7" t="n"/>
      <c r="D51" s="7" t="n"/>
      <c r="E51">
        <f>IF(C51="","",IF(C51&lt;=2,"Yes","No"))</f>
        <v/>
      </c>
      <c r="G51" s="7" t="n"/>
    </row>
    <row r="52">
      <c r="A52" s="7" t="n"/>
      <c r="D52" s="7" t="n"/>
      <c r="E52">
        <f>IF(C52="","",IF(C52&lt;=2,"Yes","No"))</f>
        <v/>
      </c>
      <c r="G52" s="7" t="n"/>
    </row>
    <row r="53">
      <c r="A53" s="7" t="n"/>
      <c r="D53" s="7" t="n"/>
      <c r="E53">
        <f>IF(C53="","",IF(C53&lt;=2,"Yes","No"))</f>
        <v/>
      </c>
      <c r="G53" s="7" t="n"/>
    </row>
    <row r="54">
      <c r="A54" s="7" t="n"/>
      <c r="D54" s="7" t="n"/>
      <c r="E54">
        <f>IF(C54="","",IF(C54&lt;=2,"Yes","No"))</f>
        <v/>
      </c>
      <c r="G54" s="7" t="n"/>
    </row>
    <row r="55">
      <c r="A55" s="7" t="n"/>
      <c r="D55" s="7" t="n"/>
      <c r="E55">
        <f>IF(C55="","",IF(C55&lt;=2,"Yes","No"))</f>
        <v/>
      </c>
      <c r="G55" s="7" t="n"/>
    </row>
    <row r="56">
      <c r="A56" s="7" t="n"/>
      <c r="D56" s="7" t="n"/>
      <c r="E56">
        <f>IF(C56="","",IF(C56&lt;=2,"Yes","No"))</f>
        <v/>
      </c>
      <c r="G56" s="7" t="n"/>
    </row>
    <row r="57">
      <c r="A57" s="7" t="n"/>
      <c r="D57" s="7" t="n"/>
      <c r="E57">
        <f>IF(C57="","",IF(C57&lt;=2,"Yes","No"))</f>
        <v/>
      </c>
      <c r="G57" s="7" t="n"/>
    </row>
    <row r="58">
      <c r="A58" s="7" t="n"/>
      <c r="D58" s="7" t="n"/>
      <c r="E58">
        <f>IF(C58="","",IF(C58&lt;=2,"Yes","No"))</f>
        <v/>
      </c>
      <c r="G58" s="7" t="n"/>
    </row>
    <row r="59">
      <c r="A59" s="7" t="n"/>
      <c r="D59" s="7" t="n"/>
      <c r="E59">
        <f>IF(C59="","",IF(C59&lt;=2,"Yes","No"))</f>
        <v/>
      </c>
      <c r="G59" s="7" t="n"/>
    </row>
    <row r="60">
      <c r="A60" s="7" t="n"/>
      <c r="D60" s="7" t="n"/>
      <c r="E60">
        <f>IF(C60="","",IF(C60&lt;=2,"Yes","No"))</f>
        <v/>
      </c>
      <c r="G60" s="7" t="n"/>
    </row>
    <row r="61">
      <c r="A61" s="7" t="n"/>
      <c r="D61" s="7" t="n"/>
      <c r="E61">
        <f>IF(C61="","",IF(C61&lt;=2,"Yes","No"))</f>
        <v/>
      </c>
      <c r="G61" s="7" t="n"/>
    </row>
    <row r="62">
      <c r="A62" s="7" t="n"/>
      <c r="D62" s="7" t="n"/>
      <c r="E62">
        <f>IF(C62="","",IF(C62&lt;=2,"Yes","No"))</f>
        <v/>
      </c>
      <c r="G62" s="7" t="n"/>
    </row>
    <row r="63">
      <c r="A63" s="7" t="n"/>
      <c r="D63" s="7" t="n"/>
      <c r="E63">
        <f>IF(C63="","",IF(C63&lt;=2,"Yes","No"))</f>
        <v/>
      </c>
      <c r="G63" s="7" t="n"/>
    </row>
    <row r="64">
      <c r="A64" s="7" t="n"/>
      <c r="D64" s="7" t="n"/>
      <c r="E64">
        <f>IF(C64="","",IF(C64&lt;=2,"Yes","No"))</f>
        <v/>
      </c>
      <c r="G64" s="7" t="n"/>
    </row>
    <row r="65">
      <c r="A65" s="7" t="n"/>
      <c r="D65" s="7" t="n"/>
      <c r="E65">
        <f>IF(C65="","",IF(C65&lt;=2,"Yes","No"))</f>
        <v/>
      </c>
      <c r="G65" s="7" t="n"/>
    </row>
    <row r="66">
      <c r="A66" s="7" t="n"/>
      <c r="D66" s="7" t="n"/>
      <c r="E66">
        <f>IF(C66="","",IF(C66&lt;=2,"Yes","No"))</f>
        <v/>
      </c>
      <c r="G66" s="7" t="n"/>
    </row>
    <row r="67">
      <c r="A67" s="7" t="n"/>
      <c r="D67" s="7" t="n"/>
      <c r="E67">
        <f>IF(C67="","",IF(C67&lt;=2,"Yes","No"))</f>
        <v/>
      </c>
      <c r="G67" s="7" t="n"/>
    </row>
    <row r="68">
      <c r="A68" s="7" t="n"/>
      <c r="D68" s="7" t="n"/>
      <c r="E68">
        <f>IF(C68="","",IF(C68&lt;=2,"Yes","No"))</f>
        <v/>
      </c>
      <c r="G68" s="7" t="n"/>
    </row>
    <row r="69">
      <c r="A69" s="7" t="n"/>
      <c r="D69" s="7" t="n"/>
      <c r="E69">
        <f>IF(C69="","",IF(C69&lt;=2,"Yes","No"))</f>
        <v/>
      </c>
      <c r="G69" s="7" t="n"/>
    </row>
    <row r="70">
      <c r="A70" s="7" t="n"/>
      <c r="D70" s="7" t="n"/>
      <c r="E70">
        <f>IF(C70="","",IF(C70&lt;=2,"Yes","No"))</f>
        <v/>
      </c>
      <c r="G70" s="7" t="n"/>
    </row>
    <row r="71">
      <c r="A71" s="7" t="n"/>
      <c r="D71" s="7" t="n"/>
      <c r="E71">
        <f>IF(C71="","",IF(C71&lt;=2,"Yes","No"))</f>
        <v/>
      </c>
      <c r="G71" s="7" t="n"/>
    </row>
    <row r="72">
      <c r="A72" s="7" t="n"/>
      <c r="D72" s="7" t="n"/>
      <c r="E72">
        <f>IF(C72="","",IF(C72&lt;=2,"Yes","No"))</f>
        <v/>
      </c>
      <c r="G72" s="7" t="n"/>
    </row>
    <row r="73">
      <c r="A73" s="7" t="n"/>
      <c r="D73" s="7" t="n"/>
      <c r="E73">
        <f>IF(C73="","",IF(C73&lt;=2,"Yes","No"))</f>
        <v/>
      </c>
      <c r="G73" s="7" t="n"/>
    </row>
    <row r="74">
      <c r="A74" s="7" t="n"/>
      <c r="D74" s="7" t="n"/>
      <c r="E74">
        <f>IF(C74="","",IF(C74&lt;=2,"Yes","No"))</f>
        <v/>
      </c>
      <c r="G74" s="7" t="n"/>
    </row>
    <row r="75">
      <c r="A75" s="7" t="n"/>
      <c r="D75" s="7" t="n"/>
      <c r="E75">
        <f>IF(C75="","",IF(C75&lt;=2,"Yes","No"))</f>
        <v/>
      </c>
      <c r="G75" s="7" t="n"/>
    </row>
    <row r="76">
      <c r="A76" s="7" t="n"/>
      <c r="D76" s="7" t="n"/>
      <c r="E76">
        <f>IF(C76="","",IF(C76&lt;=2,"Yes","No"))</f>
        <v/>
      </c>
      <c r="G76" s="7" t="n"/>
    </row>
    <row r="77">
      <c r="A77" s="7" t="n"/>
      <c r="D77" s="7" t="n"/>
      <c r="E77">
        <f>IF(C77="","",IF(C77&lt;=2,"Yes","No"))</f>
        <v/>
      </c>
      <c r="G77" s="7" t="n"/>
    </row>
    <row r="78">
      <c r="A78" s="7" t="n"/>
      <c r="D78" s="7" t="n"/>
      <c r="E78">
        <f>IF(C78="","",IF(C78&lt;=2,"Yes","No"))</f>
        <v/>
      </c>
      <c r="G78" s="7" t="n"/>
    </row>
    <row r="79">
      <c r="A79" s="7" t="n"/>
      <c r="D79" s="7" t="n"/>
      <c r="E79">
        <f>IF(C79="","",IF(C79&lt;=2,"Yes","No"))</f>
        <v/>
      </c>
      <c r="G79" s="7" t="n"/>
    </row>
    <row r="80">
      <c r="A80" s="7" t="n"/>
      <c r="D80" s="7" t="n"/>
      <c r="E80">
        <f>IF(C80="","",IF(C80&lt;=2,"Yes","No"))</f>
        <v/>
      </c>
      <c r="G80" s="7" t="n"/>
    </row>
    <row r="81">
      <c r="A81" s="7" t="n"/>
      <c r="D81" s="7" t="n"/>
      <c r="E81">
        <f>IF(C81="","",IF(C81&lt;=2,"Yes","No"))</f>
        <v/>
      </c>
      <c r="G81" s="7" t="n"/>
    </row>
    <row r="82">
      <c r="A82" s="7" t="n"/>
      <c r="D82" s="7" t="n"/>
      <c r="E82">
        <f>IF(C82="","",IF(C82&lt;=2,"Yes","No"))</f>
        <v/>
      </c>
      <c r="G82" s="7" t="n"/>
    </row>
    <row r="83">
      <c r="A83" s="7" t="n"/>
      <c r="D83" s="7" t="n"/>
      <c r="E83">
        <f>IF(C83="","",IF(C83&lt;=2,"Yes","No"))</f>
        <v/>
      </c>
      <c r="G83" s="7" t="n"/>
    </row>
    <row r="84">
      <c r="A84" s="7" t="n"/>
      <c r="D84" s="7" t="n"/>
      <c r="E84">
        <f>IF(C84="","",IF(C84&lt;=2,"Yes","No"))</f>
        <v/>
      </c>
      <c r="G84" s="7" t="n"/>
    </row>
    <row r="85">
      <c r="A85" s="7" t="n"/>
      <c r="D85" s="7" t="n"/>
      <c r="E85">
        <f>IF(C85="","",IF(C85&lt;=2,"Yes","No"))</f>
        <v/>
      </c>
      <c r="G85" s="7" t="n"/>
    </row>
    <row r="86">
      <c r="A86" s="7" t="n"/>
      <c r="D86" s="7" t="n"/>
      <c r="E86">
        <f>IF(C86="","",IF(C86&lt;=2,"Yes","No"))</f>
        <v/>
      </c>
      <c r="G86" s="7" t="n"/>
    </row>
    <row r="87">
      <c r="A87" s="7" t="n"/>
      <c r="D87" s="7" t="n"/>
      <c r="E87">
        <f>IF(C87="","",IF(C87&lt;=2,"Yes","No"))</f>
        <v/>
      </c>
      <c r="G87" s="7" t="n"/>
    </row>
    <row r="88">
      <c r="A88" s="7" t="n"/>
      <c r="D88" s="7" t="n"/>
      <c r="E88">
        <f>IF(C88="","",IF(C88&lt;=2,"Yes","No"))</f>
        <v/>
      </c>
      <c r="G88" s="7" t="n"/>
    </row>
    <row r="89">
      <c r="A89" s="7" t="n"/>
      <c r="D89" s="7" t="n"/>
      <c r="E89">
        <f>IF(C89="","",IF(C89&lt;=2,"Yes","No"))</f>
        <v/>
      </c>
      <c r="G89" s="7" t="n"/>
    </row>
    <row r="90">
      <c r="A90" s="7" t="n"/>
      <c r="D90" s="7" t="n"/>
      <c r="E90">
        <f>IF(C90="","",IF(C90&lt;=2,"Yes","No"))</f>
        <v/>
      </c>
      <c r="G90" s="7" t="n"/>
    </row>
    <row r="91">
      <c r="A91" s="7" t="n"/>
      <c r="D91" s="7" t="n"/>
      <c r="E91">
        <f>IF(C91="","",IF(C91&lt;=2,"Yes","No"))</f>
        <v/>
      </c>
      <c r="G91" s="7" t="n"/>
    </row>
    <row r="92">
      <c r="A92" s="7" t="n"/>
      <c r="D92" s="7" t="n"/>
      <c r="E92">
        <f>IF(C92="","",IF(C92&lt;=2,"Yes","No"))</f>
        <v/>
      </c>
      <c r="G92" s="7" t="n"/>
    </row>
    <row r="93">
      <c r="A93" s="7" t="n"/>
      <c r="D93" s="7" t="n"/>
      <c r="E93">
        <f>IF(C93="","",IF(C93&lt;=2,"Yes","No"))</f>
        <v/>
      </c>
      <c r="G93" s="7" t="n"/>
    </row>
    <row r="94">
      <c r="A94" s="7" t="n"/>
      <c r="D94" s="7" t="n"/>
      <c r="E94">
        <f>IF(C94="","",IF(C94&lt;=2,"Yes","No"))</f>
        <v/>
      </c>
      <c r="G94" s="7" t="n"/>
    </row>
    <row r="95">
      <c r="A95" s="7" t="n"/>
      <c r="D95" s="7" t="n"/>
      <c r="E95">
        <f>IF(C95="","",IF(C95&lt;=2,"Yes","No"))</f>
        <v/>
      </c>
      <c r="G95" s="7" t="n"/>
    </row>
    <row r="96">
      <c r="A96" s="7" t="n"/>
      <c r="D96" s="7" t="n"/>
      <c r="E96">
        <f>IF(C96="","",IF(C96&lt;=2,"Yes","No"))</f>
        <v/>
      </c>
      <c r="G96" s="7" t="n"/>
    </row>
    <row r="97">
      <c r="A97" s="7" t="n"/>
      <c r="D97" s="7" t="n"/>
      <c r="E97">
        <f>IF(C97="","",IF(C97&lt;=2,"Yes","No"))</f>
        <v/>
      </c>
      <c r="G97" s="7" t="n"/>
    </row>
    <row r="98">
      <c r="A98" s="7" t="n"/>
      <c r="D98" s="7" t="n"/>
      <c r="E98">
        <f>IF(C98="","",IF(C98&lt;=2,"Yes","No"))</f>
        <v/>
      </c>
      <c r="G98" s="7" t="n"/>
    </row>
    <row r="99">
      <c r="A99" s="7" t="n"/>
      <c r="D99" s="7" t="n"/>
      <c r="E99">
        <f>IF(C99="","",IF(C99&lt;=2,"Yes","No"))</f>
        <v/>
      </c>
      <c r="G99" s="7" t="n"/>
    </row>
    <row r="100">
      <c r="A100" s="7" t="n"/>
      <c r="D100" s="7" t="n"/>
      <c r="E100">
        <f>IF(C100="","",IF(C100&lt;=2,"Yes","No"))</f>
        <v/>
      </c>
      <c r="G100" s="7" t="n"/>
    </row>
    <row r="101">
      <c r="A101" s="7" t="n"/>
      <c r="D101" s="7" t="n"/>
      <c r="E101">
        <f>IF(C101="","",IF(C101&lt;=2,"Yes","No"))</f>
        <v/>
      </c>
      <c r="G101" s="7" t="n"/>
    </row>
    <row r="102">
      <c r="A102" s="7" t="n"/>
      <c r="D102" s="7" t="n"/>
      <c r="E102">
        <f>IF(C102="","",IF(C102&lt;=2,"Yes","No"))</f>
        <v/>
      </c>
      <c r="G102" s="7" t="n"/>
    </row>
    <row r="103">
      <c r="A103" s="7" t="n"/>
      <c r="D103" s="7" t="n"/>
      <c r="E103">
        <f>IF(C103="","",IF(C103&lt;=2,"Yes","No"))</f>
        <v/>
      </c>
      <c r="G103" s="7" t="n"/>
    </row>
    <row r="104">
      <c r="A104" s="7" t="n"/>
      <c r="D104" s="7" t="n"/>
      <c r="E104">
        <f>IF(C104="","",IF(C104&lt;=2,"Yes","No"))</f>
        <v/>
      </c>
      <c r="G104" s="7" t="n"/>
    </row>
    <row r="105">
      <c r="A105" s="7" t="n"/>
      <c r="D105" s="7" t="n"/>
      <c r="E105">
        <f>IF(C105="","",IF(C105&lt;=2,"Yes","No"))</f>
        <v/>
      </c>
      <c r="G105" s="7" t="n"/>
    </row>
    <row r="106">
      <c r="A106" s="7" t="n"/>
      <c r="D106" s="7" t="n"/>
      <c r="E106">
        <f>IF(C106="","",IF(C106&lt;=2,"Yes","No"))</f>
        <v/>
      </c>
      <c r="G106" s="7" t="n"/>
    </row>
    <row r="107">
      <c r="A107" s="7" t="n"/>
      <c r="D107" s="7" t="n"/>
      <c r="E107">
        <f>IF(C107="","",IF(C107&lt;=2,"Yes","No"))</f>
        <v/>
      </c>
      <c r="G107" s="7" t="n"/>
    </row>
    <row r="108">
      <c r="A108" s="7" t="n"/>
      <c r="D108" s="7" t="n"/>
      <c r="E108">
        <f>IF(C108="","",IF(C108&lt;=2,"Yes","No"))</f>
        <v/>
      </c>
      <c r="G108" s="7" t="n"/>
    </row>
    <row r="109">
      <c r="A109" s="7" t="n"/>
      <c r="D109" s="7" t="n"/>
      <c r="E109">
        <f>IF(C109="","",IF(C109&lt;=2,"Yes","No"))</f>
        <v/>
      </c>
      <c r="G109" s="7" t="n"/>
    </row>
    <row r="110">
      <c r="A110" s="7" t="n"/>
      <c r="D110" s="7" t="n"/>
      <c r="E110">
        <f>IF(C110="","",IF(C110&lt;=2,"Yes","No"))</f>
        <v/>
      </c>
      <c r="G110" s="7" t="n"/>
    </row>
    <row r="111">
      <c r="A111" s="7" t="n"/>
      <c r="D111" s="7" t="n"/>
      <c r="E111">
        <f>IF(C111="","",IF(C111&lt;=2,"Yes","No"))</f>
        <v/>
      </c>
      <c r="G111" s="7" t="n"/>
    </row>
    <row r="112">
      <c r="A112" s="7" t="n"/>
      <c r="D112" s="7" t="n"/>
      <c r="E112">
        <f>IF(C112="","",IF(C112&lt;=2,"Yes","No"))</f>
        <v/>
      </c>
      <c r="G112" s="7" t="n"/>
    </row>
    <row r="113">
      <c r="A113" s="7" t="n"/>
      <c r="D113" s="7" t="n"/>
      <c r="E113">
        <f>IF(C113="","",IF(C113&lt;=2,"Yes","No"))</f>
        <v/>
      </c>
      <c r="G113" s="7" t="n"/>
    </row>
    <row r="114">
      <c r="A114" s="7" t="n"/>
      <c r="D114" s="7" t="n"/>
      <c r="E114">
        <f>IF(C114="","",IF(C114&lt;=2,"Yes","No"))</f>
        <v/>
      </c>
      <c r="G114" s="7" t="n"/>
    </row>
    <row r="115">
      <c r="A115" s="7" t="n"/>
      <c r="D115" s="7" t="n"/>
      <c r="E115">
        <f>IF(C115="","",IF(C115&lt;=2,"Yes","No"))</f>
        <v/>
      </c>
      <c r="G115" s="7" t="n"/>
    </row>
    <row r="116">
      <c r="A116" s="7" t="n"/>
      <c r="D116" s="7" t="n"/>
      <c r="E116">
        <f>IF(C116="","",IF(C116&lt;=2,"Yes","No"))</f>
        <v/>
      </c>
      <c r="G116" s="7" t="n"/>
    </row>
    <row r="117">
      <c r="A117" s="7" t="n"/>
      <c r="D117" s="7" t="n"/>
      <c r="E117">
        <f>IF(C117="","",IF(C117&lt;=2,"Yes","No"))</f>
        <v/>
      </c>
      <c r="G117" s="7" t="n"/>
    </row>
    <row r="118">
      <c r="A118" s="7" t="n"/>
      <c r="D118" s="7" t="n"/>
      <c r="E118">
        <f>IF(C118="","",IF(C118&lt;=2,"Yes","No"))</f>
        <v/>
      </c>
      <c r="G118" s="7" t="n"/>
    </row>
    <row r="119">
      <c r="A119" s="7" t="n"/>
      <c r="D119" s="7" t="n"/>
      <c r="E119">
        <f>IF(C119="","",IF(C119&lt;=2,"Yes","No"))</f>
        <v/>
      </c>
      <c r="G119" s="7" t="n"/>
    </row>
    <row r="120">
      <c r="A120" s="7" t="n"/>
      <c r="D120" s="7" t="n"/>
      <c r="E120">
        <f>IF(C120="","",IF(C120&lt;=2,"Yes","No"))</f>
        <v/>
      </c>
      <c r="G120" s="7" t="n"/>
    </row>
    <row r="121">
      <c r="A121" s="7" t="n"/>
      <c r="D121" s="7" t="n"/>
      <c r="E121">
        <f>IF(C121="","",IF(C121&lt;=2,"Yes","No"))</f>
        <v/>
      </c>
      <c r="G121" s="7" t="n"/>
    </row>
    <row r="122">
      <c r="A122" s="7" t="n"/>
      <c r="D122" s="7" t="n"/>
      <c r="E122">
        <f>IF(C122="","",IF(C122&lt;=2,"Yes","No"))</f>
        <v/>
      </c>
      <c r="G122" s="7" t="n"/>
    </row>
    <row r="123">
      <c r="A123" s="7" t="n"/>
      <c r="D123" s="7" t="n"/>
      <c r="E123">
        <f>IF(C123="","",IF(C123&lt;=2,"Yes","No"))</f>
        <v/>
      </c>
      <c r="G123" s="7" t="n"/>
    </row>
    <row r="124">
      <c r="A124" s="7" t="n"/>
      <c r="D124" s="7" t="n"/>
      <c r="E124">
        <f>IF(C124="","",IF(C124&lt;=2,"Yes","No"))</f>
        <v/>
      </c>
      <c r="G124" s="7" t="n"/>
    </row>
    <row r="125">
      <c r="A125" s="7" t="n"/>
      <c r="D125" s="7" t="n"/>
      <c r="E125">
        <f>IF(C125="","",IF(C125&lt;=2,"Yes","No"))</f>
        <v/>
      </c>
      <c r="G125" s="7" t="n"/>
    </row>
    <row r="126">
      <c r="A126" s="7" t="n"/>
      <c r="D126" s="7" t="n"/>
      <c r="E126">
        <f>IF(C126="","",IF(C126&lt;=2,"Yes","No"))</f>
        <v/>
      </c>
      <c r="G126" s="7" t="n"/>
    </row>
    <row r="127">
      <c r="A127" s="7" t="n"/>
      <c r="D127" s="7" t="n"/>
      <c r="E127">
        <f>IF(C127="","",IF(C127&lt;=2,"Yes","No"))</f>
        <v/>
      </c>
      <c r="G127" s="7" t="n"/>
    </row>
    <row r="128">
      <c r="A128" s="7" t="n"/>
      <c r="D128" s="7" t="n"/>
      <c r="E128">
        <f>IF(C128="","",IF(C128&lt;=2,"Yes","No"))</f>
        <v/>
      </c>
      <c r="G128" s="7" t="n"/>
    </row>
    <row r="129">
      <c r="A129" s="7" t="n"/>
      <c r="D129" s="7" t="n"/>
      <c r="E129">
        <f>IF(C129="","",IF(C129&lt;=2,"Yes","No"))</f>
        <v/>
      </c>
      <c r="G129" s="7" t="n"/>
    </row>
    <row r="130">
      <c r="A130" s="7" t="n"/>
      <c r="D130" s="7" t="n"/>
      <c r="E130">
        <f>IF(C130="","",IF(C130&lt;=2,"Yes","No"))</f>
        <v/>
      </c>
      <c r="G130" s="7" t="n"/>
    </row>
    <row r="131">
      <c r="A131" s="7" t="n"/>
      <c r="D131" s="7" t="n"/>
      <c r="E131">
        <f>IF(C131="","",IF(C131&lt;=2,"Yes","No"))</f>
        <v/>
      </c>
      <c r="G131" s="7" t="n"/>
    </row>
    <row r="132">
      <c r="A132" s="7" t="n"/>
      <c r="D132" s="7" t="n"/>
      <c r="E132">
        <f>IF(C132="","",IF(C132&lt;=2,"Yes","No"))</f>
        <v/>
      </c>
      <c r="G132" s="7" t="n"/>
    </row>
    <row r="133">
      <c r="A133" s="7" t="n"/>
      <c r="D133" s="7" t="n"/>
      <c r="E133">
        <f>IF(C133="","",IF(C133&lt;=2,"Yes","No"))</f>
        <v/>
      </c>
      <c r="G133" s="7" t="n"/>
    </row>
    <row r="134">
      <c r="A134" s="7" t="n"/>
      <c r="D134" s="7" t="n"/>
      <c r="E134">
        <f>IF(C134="","",IF(C134&lt;=2,"Yes","No"))</f>
        <v/>
      </c>
      <c r="G134" s="7" t="n"/>
    </row>
    <row r="135">
      <c r="A135" s="7" t="n"/>
      <c r="D135" s="7" t="n"/>
      <c r="E135">
        <f>IF(C135="","",IF(C135&lt;=2,"Yes","No"))</f>
        <v/>
      </c>
      <c r="G135" s="7" t="n"/>
    </row>
    <row r="136">
      <c r="A136" s="7" t="n"/>
      <c r="D136" s="7" t="n"/>
      <c r="E136">
        <f>IF(C136="","",IF(C136&lt;=2,"Yes","No"))</f>
        <v/>
      </c>
      <c r="G136" s="7" t="n"/>
    </row>
    <row r="137">
      <c r="A137" s="7" t="n"/>
      <c r="D137" s="7" t="n"/>
      <c r="E137">
        <f>IF(C137="","",IF(C137&lt;=2,"Yes","No"))</f>
        <v/>
      </c>
      <c r="G137" s="7" t="n"/>
    </row>
    <row r="138">
      <c r="A138" s="7" t="n"/>
      <c r="D138" s="7" t="n"/>
      <c r="E138">
        <f>IF(C138="","",IF(C138&lt;=2,"Yes","No"))</f>
        <v/>
      </c>
      <c r="G138" s="7" t="n"/>
    </row>
    <row r="139">
      <c r="A139" s="7" t="n"/>
      <c r="D139" s="7" t="n"/>
      <c r="E139">
        <f>IF(C139="","",IF(C139&lt;=2,"Yes","No"))</f>
        <v/>
      </c>
      <c r="G139" s="7" t="n"/>
    </row>
    <row r="140">
      <c r="A140" s="7" t="n"/>
      <c r="D140" s="7" t="n"/>
      <c r="E140">
        <f>IF(C140="","",IF(C140&lt;=2,"Yes","No"))</f>
        <v/>
      </c>
      <c r="G140" s="7" t="n"/>
    </row>
    <row r="141">
      <c r="A141" s="7" t="n"/>
      <c r="D141" s="7" t="n"/>
      <c r="E141">
        <f>IF(C141="","",IF(C141&lt;=2,"Yes","No"))</f>
        <v/>
      </c>
      <c r="G141" s="7" t="n"/>
    </row>
    <row r="142">
      <c r="A142" s="7" t="n"/>
      <c r="D142" s="7" t="n"/>
      <c r="E142">
        <f>IF(C142="","",IF(C142&lt;=2,"Yes","No"))</f>
        <v/>
      </c>
      <c r="G142" s="7" t="n"/>
    </row>
    <row r="143">
      <c r="A143" s="7" t="n"/>
      <c r="D143" s="7" t="n"/>
      <c r="E143">
        <f>IF(C143="","",IF(C143&lt;=2,"Yes","No"))</f>
        <v/>
      </c>
      <c r="G143" s="7" t="n"/>
    </row>
    <row r="144">
      <c r="A144" s="7" t="n"/>
      <c r="D144" s="7" t="n"/>
      <c r="E144">
        <f>IF(C144="","",IF(C144&lt;=2,"Yes","No"))</f>
        <v/>
      </c>
      <c r="G144" s="7" t="n"/>
    </row>
    <row r="145">
      <c r="A145" s="7" t="n"/>
      <c r="D145" s="7" t="n"/>
      <c r="E145">
        <f>IF(C145="","",IF(C145&lt;=2,"Yes","No"))</f>
        <v/>
      </c>
      <c r="G145" s="7" t="n"/>
    </row>
    <row r="146">
      <c r="A146" s="7" t="n"/>
      <c r="D146" s="7" t="n"/>
      <c r="E146">
        <f>IF(C146="","",IF(C146&lt;=2,"Yes","No"))</f>
        <v/>
      </c>
      <c r="G146" s="7" t="n"/>
    </row>
    <row r="147">
      <c r="A147" s="7" t="n"/>
      <c r="D147" s="7" t="n"/>
      <c r="E147">
        <f>IF(C147="","",IF(C147&lt;=2,"Yes","No"))</f>
        <v/>
      </c>
      <c r="G147" s="7" t="n"/>
    </row>
    <row r="148">
      <c r="A148" s="7" t="n"/>
      <c r="D148" s="7" t="n"/>
      <c r="E148">
        <f>IF(C148="","",IF(C148&lt;=2,"Yes","No"))</f>
        <v/>
      </c>
      <c r="G148" s="7" t="n"/>
    </row>
    <row r="149">
      <c r="A149" s="7" t="n"/>
      <c r="D149" s="7" t="n"/>
      <c r="E149">
        <f>IF(C149="","",IF(C149&lt;=2,"Yes","No"))</f>
        <v/>
      </c>
      <c r="G149" s="7" t="n"/>
    </row>
    <row r="150">
      <c r="A150" s="7" t="n"/>
      <c r="D150" s="7" t="n"/>
      <c r="E150">
        <f>IF(C150="","",IF(C150&lt;=2,"Yes","No"))</f>
        <v/>
      </c>
      <c r="G150" s="7" t="n"/>
    </row>
    <row r="151">
      <c r="A151" s="7" t="n"/>
      <c r="D151" s="7" t="n"/>
      <c r="E151">
        <f>IF(C151="","",IF(C151&lt;=2,"Yes","No"))</f>
        <v/>
      </c>
      <c r="G151" s="7" t="n"/>
    </row>
    <row r="152">
      <c r="A152" s="7" t="n"/>
      <c r="D152" s="7" t="n"/>
      <c r="E152">
        <f>IF(C152="","",IF(C152&lt;=2,"Yes","No"))</f>
        <v/>
      </c>
      <c r="G152" s="7" t="n"/>
    </row>
    <row r="153">
      <c r="A153" s="7" t="n"/>
      <c r="D153" s="7" t="n"/>
      <c r="E153">
        <f>IF(C153="","",IF(C153&lt;=2,"Yes","No"))</f>
        <v/>
      </c>
      <c r="G153" s="7" t="n"/>
    </row>
    <row r="154">
      <c r="A154" s="7" t="n"/>
      <c r="D154" s="7" t="n"/>
      <c r="E154">
        <f>IF(C154="","",IF(C154&lt;=2,"Yes","No"))</f>
        <v/>
      </c>
      <c r="G154" s="7" t="n"/>
    </row>
    <row r="155">
      <c r="A155" s="7" t="n"/>
      <c r="D155" s="7" t="n"/>
      <c r="E155">
        <f>IF(C155="","",IF(C155&lt;=2,"Yes","No"))</f>
        <v/>
      </c>
      <c r="G155" s="7" t="n"/>
    </row>
    <row r="156">
      <c r="A156" s="7" t="n"/>
      <c r="D156" s="7" t="n"/>
      <c r="E156">
        <f>IF(C156="","",IF(C156&lt;=2,"Yes","No"))</f>
        <v/>
      </c>
      <c r="G156" s="7" t="n"/>
    </row>
    <row r="157">
      <c r="A157" s="7" t="n"/>
      <c r="D157" s="7" t="n"/>
      <c r="E157">
        <f>IF(C157="","",IF(C157&lt;=2,"Yes","No"))</f>
        <v/>
      </c>
      <c r="G157" s="7" t="n"/>
    </row>
    <row r="158">
      <c r="A158" s="7" t="n"/>
      <c r="D158" s="7" t="n"/>
      <c r="E158">
        <f>IF(C158="","",IF(C158&lt;=2,"Yes","No"))</f>
        <v/>
      </c>
      <c r="G158" s="7" t="n"/>
    </row>
    <row r="159">
      <c r="A159" s="7" t="n"/>
      <c r="D159" s="7" t="n"/>
      <c r="E159">
        <f>IF(C159="","",IF(C159&lt;=2,"Yes","No"))</f>
        <v/>
      </c>
      <c r="G159" s="7" t="n"/>
    </row>
    <row r="160">
      <c r="A160" s="7" t="n"/>
      <c r="D160" s="7" t="n"/>
      <c r="E160">
        <f>IF(C160="","",IF(C160&lt;=2,"Yes","No"))</f>
        <v/>
      </c>
      <c r="G160" s="7" t="n"/>
    </row>
    <row r="161">
      <c r="A161" s="7" t="n"/>
      <c r="D161" s="7" t="n"/>
      <c r="E161">
        <f>IF(C161="","",IF(C161&lt;=2,"Yes","No"))</f>
        <v/>
      </c>
      <c r="G161" s="7" t="n"/>
    </row>
    <row r="162">
      <c r="A162" s="7" t="n"/>
      <c r="D162" s="7" t="n"/>
      <c r="E162">
        <f>IF(C162="","",IF(C162&lt;=2,"Yes","No"))</f>
        <v/>
      </c>
      <c r="G162" s="7" t="n"/>
    </row>
    <row r="163">
      <c r="A163" s="7" t="n"/>
      <c r="D163" s="7" t="n"/>
      <c r="E163">
        <f>IF(C163="","",IF(C163&lt;=2,"Yes","No"))</f>
        <v/>
      </c>
      <c r="G163" s="7" t="n"/>
    </row>
    <row r="164">
      <c r="A164" s="7" t="n"/>
      <c r="D164" s="7" t="n"/>
      <c r="E164">
        <f>IF(C164="","",IF(C164&lt;=2,"Yes","No"))</f>
        <v/>
      </c>
      <c r="G164" s="7" t="n"/>
    </row>
    <row r="165">
      <c r="A165" s="7" t="n"/>
      <c r="D165" s="7" t="n"/>
      <c r="E165">
        <f>IF(C165="","",IF(C165&lt;=2,"Yes","No"))</f>
        <v/>
      </c>
      <c r="G165" s="7" t="n"/>
    </row>
    <row r="166">
      <c r="A166" s="7" t="n"/>
      <c r="D166" s="7" t="n"/>
      <c r="E166">
        <f>IF(C166="","",IF(C166&lt;=2,"Yes","No"))</f>
        <v/>
      </c>
      <c r="G166" s="7" t="n"/>
    </row>
    <row r="167">
      <c r="A167" s="7" t="n"/>
      <c r="D167" s="7" t="n"/>
      <c r="E167">
        <f>IF(C167="","",IF(C167&lt;=2,"Yes","No"))</f>
        <v/>
      </c>
      <c r="G167" s="7" t="n"/>
    </row>
    <row r="168">
      <c r="A168" s="7" t="n"/>
      <c r="D168" s="7" t="n"/>
      <c r="E168">
        <f>IF(C168="","",IF(C168&lt;=2,"Yes","No"))</f>
        <v/>
      </c>
      <c r="G168" s="7" t="n"/>
    </row>
    <row r="169">
      <c r="A169" s="7" t="n"/>
      <c r="D169" s="7" t="n"/>
      <c r="E169">
        <f>IF(C169="","",IF(C169&lt;=2,"Yes","No"))</f>
        <v/>
      </c>
      <c r="G169" s="7" t="n"/>
    </row>
    <row r="170">
      <c r="A170" s="7" t="n"/>
      <c r="D170" s="7" t="n"/>
      <c r="E170">
        <f>IF(C170="","",IF(C170&lt;=2,"Yes","No"))</f>
        <v/>
      </c>
      <c r="G170" s="7" t="n"/>
    </row>
    <row r="171">
      <c r="A171" s="7" t="n"/>
      <c r="D171" s="7" t="n"/>
      <c r="E171">
        <f>IF(C171="","",IF(C171&lt;=2,"Yes","No"))</f>
        <v/>
      </c>
      <c r="G171" s="7" t="n"/>
    </row>
    <row r="172">
      <c r="A172" s="7" t="n"/>
      <c r="D172" s="7" t="n"/>
      <c r="E172">
        <f>IF(C172="","",IF(C172&lt;=2,"Yes","No"))</f>
        <v/>
      </c>
      <c r="G172" s="7" t="n"/>
    </row>
    <row r="173">
      <c r="A173" s="7" t="n"/>
      <c r="D173" s="7" t="n"/>
      <c r="E173">
        <f>IF(C173="","",IF(C173&lt;=2,"Yes","No"))</f>
        <v/>
      </c>
      <c r="G173" s="7" t="n"/>
    </row>
    <row r="174">
      <c r="A174" s="7" t="n"/>
      <c r="D174" s="7" t="n"/>
      <c r="E174">
        <f>IF(C174="","",IF(C174&lt;=2,"Yes","No"))</f>
        <v/>
      </c>
      <c r="G174" s="7" t="n"/>
    </row>
    <row r="175">
      <c r="A175" s="7" t="n"/>
      <c r="D175" s="7" t="n"/>
      <c r="E175">
        <f>IF(C175="","",IF(C175&lt;=2,"Yes","No"))</f>
        <v/>
      </c>
      <c r="G175" s="7" t="n"/>
    </row>
    <row r="176">
      <c r="A176" s="7" t="n"/>
      <c r="D176" s="7" t="n"/>
      <c r="E176">
        <f>IF(C176="","",IF(C176&lt;=2,"Yes","No"))</f>
        <v/>
      </c>
      <c r="G176" s="7" t="n"/>
    </row>
    <row r="177">
      <c r="A177" s="7" t="n"/>
      <c r="D177" s="7" t="n"/>
      <c r="E177">
        <f>IF(C177="","",IF(C177&lt;=2,"Yes","No"))</f>
        <v/>
      </c>
      <c r="G177" s="7" t="n"/>
    </row>
    <row r="178">
      <c r="A178" s="7" t="n"/>
      <c r="D178" s="7" t="n"/>
      <c r="E178">
        <f>IF(C178="","",IF(C178&lt;=2,"Yes","No"))</f>
        <v/>
      </c>
      <c r="G178" s="7" t="n"/>
    </row>
    <row r="179">
      <c r="A179" s="7" t="n"/>
      <c r="D179" s="7" t="n"/>
      <c r="E179">
        <f>IF(C179="","",IF(C179&lt;=2,"Yes","No"))</f>
        <v/>
      </c>
      <c r="G179" s="7" t="n"/>
    </row>
    <row r="180">
      <c r="A180" s="7" t="n"/>
      <c r="D180" s="7" t="n"/>
      <c r="E180">
        <f>IF(C180="","",IF(C180&lt;=2,"Yes","No"))</f>
        <v/>
      </c>
      <c r="G180" s="7" t="n"/>
    </row>
    <row r="181">
      <c r="A181" s="7" t="n"/>
      <c r="D181" s="7" t="n"/>
      <c r="E181">
        <f>IF(C181="","",IF(C181&lt;=2,"Yes","No"))</f>
        <v/>
      </c>
      <c r="G181" s="7" t="n"/>
    </row>
    <row r="182">
      <c r="A182" s="7" t="n"/>
      <c r="D182" s="7" t="n"/>
      <c r="E182">
        <f>IF(C182="","",IF(C182&lt;=2,"Yes","No"))</f>
        <v/>
      </c>
      <c r="G182" s="7" t="n"/>
    </row>
    <row r="183">
      <c r="A183" s="7" t="n"/>
      <c r="D183" s="7" t="n"/>
      <c r="E183">
        <f>IF(C183="","",IF(C183&lt;=2,"Yes","No"))</f>
        <v/>
      </c>
      <c r="G183" s="7" t="n"/>
    </row>
    <row r="184">
      <c r="A184" s="7" t="n"/>
      <c r="D184" s="7" t="n"/>
      <c r="E184">
        <f>IF(C184="","",IF(C184&lt;=2,"Yes","No"))</f>
        <v/>
      </c>
      <c r="G184" s="7" t="n"/>
    </row>
    <row r="185">
      <c r="A185" s="7" t="n"/>
      <c r="D185" s="7" t="n"/>
      <c r="E185">
        <f>IF(C185="","",IF(C185&lt;=2,"Yes","No"))</f>
        <v/>
      </c>
      <c r="G185" s="7" t="n"/>
    </row>
    <row r="186">
      <c r="A186" s="7" t="n"/>
      <c r="D186" s="7" t="n"/>
      <c r="E186">
        <f>IF(C186="","",IF(C186&lt;=2,"Yes","No"))</f>
        <v/>
      </c>
      <c r="G186" s="7" t="n"/>
    </row>
    <row r="187">
      <c r="A187" s="7" t="n"/>
      <c r="D187" s="7" t="n"/>
      <c r="E187">
        <f>IF(C187="","",IF(C187&lt;=2,"Yes","No"))</f>
        <v/>
      </c>
      <c r="G187" s="7" t="n"/>
    </row>
    <row r="188">
      <c r="A188" s="7" t="n"/>
      <c r="D188" s="7" t="n"/>
      <c r="E188">
        <f>IF(C188="","",IF(C188&lt;=2,"Yes","No"))</f>
        <v/>
      </c>
      <c r="G188" s="7" t="n"/>
    </row>
    <row r="189">
      <c r="A189" s="7" t="n"/>
      <c r="D189" s="7" t="n"/>
      <c r="E189">
        <f>IF(C189="","",IF(C189&lt;=2,"Yes","No"))</f>
        <v/>
      </c>
      <c r="G189" s="7" t="n"/>
    </row>
    <row r="190">
      <c r="A190" s="7" t="n"/>
      <c r="D190" s="7" t="n"/>
      <c r="E190">
        <f>IF(C190="","",IF(C190&lt;=2,"Yes","No"))</f>
        <v/>
      </c>
      <c r="G190" s="7" t="n"/>
    </row>
    <row r="191">
      <c r="A191" s="7" t="n"/>
      <c r="D191" s="7" t="n"/>
      <c r="E191">
        <f>IF(C191="","",IF(C191&lt;=2,"Yes","No"))</f>
        <v/>
      </c>
      <c r="G191" s="7" t="n"/>
    </row>
    <row r="192">
      <c r="A192" s="7" t="n"/>
      <c r="D192" s="7" t="n"/>
      <c r="E192">
        <f>IF(C192="","",IF(C192&lt;=2,"Yes","No"))</f>
        <v/>
      </c>
      <c r="G192" s="7" t="n"/>
    </row>
    <row r="193">
      <c r="A193" s="7" t="n"/>
      <c r="D193" s="7" t="n"/>
      <c r="E193">
        <f>IF(C193="","",IF(C193&lt;=2,"Yes","No"))</f>
        <v/>
      </c>
      <c r="G193" s="7" t="n"/>
    </row>
    <row r="194">
      <c r="A194" s="7" t="n"/>
      <c r="D194" s="7" t="n"/>
      <c r="E194">
        <f>IF(C194="","",IF(C194&lt;=2,"Yes","No"))</f>
        <v/>
      </c>
      <c r="G194" s="7" t="n"/>
    </row>
    <row r="195">
      <c r="A195" s="7" t="n"/>
      <c r="D195" s="7" t="n"/>
      <c r="E195">
        <f>IF(C195="","",IF(C195&lt;=2,"Yes","No"))</f>
        <v/>
      </c>
      <c r="G195" s="7" t="n"/>
    </row>
    <row r="196">
      <c r="A196" s="7" t="n"/>
      <c r="D196" s="7" t="n"/>
      <c r="E196">
        <f>IF(C196="","",IF(C196&lt;=2,"Yes","No"))</f>
        <v/>
      </c>
      <c r="G196" s="7" t="n"/>
    </row>
    <row r="197">
      <c r="A197" s="7" t="n"/>
      <c r="D197" s="7" t="n"/>
      <c r="E197">
        <f>IF(C197="","",IF(C197&lt;=2,"Yes","No"))</f>
        <v/>
      </c>
      <c r="G197" s="7" t="n"/>
    </row>
    <row r="198">
      <c r="A198" s="7" t="n"/>
      <c r="D198" s="7" t="n"/>
      <c r="E198">
        <f>IF(C198="","",IF(C198&lt;=2,"Yes","No"))</f>
        <v/>
      </c>
      <c r="G198" s="7" t="n"/>
    </row>
    <row r="199">
      <c r="A199" s="7" t="n"/>
      <c r="D199" s="7" t="n"/>
      <c r="E199">
        <f>IF(C199="","",IF(C199&lt;=2,"Yes","No"))</f>
        <v/>
      </c>
      <c r="G199" s="7" t="n"/>
    </row>
    <row r="200">
      <c r="A200" s="7" t="n"/>
      <c r="D200" s="7" t="n"/>
      <c r="E200">
        <f>IF(C200="","",IF(C200&lt;=2,"Yes","No"))</f>
        <v/>
      </c>
      <c r="G200" s="7" t="n"/>
    </row>
    <row r="201">
      <c r="A201" s="7" t="n"/>
      <c r="D201" s="7" t="n"/>
      <c r="E201">
        <f>IF(C201="","",IF(C201&lt;=2,"Yes","No"))</f>
        <v/>
      </c>
      <c r="G201" s="7" t="n"/>
    </row>
    <row r="202">
      <c r="A202" s="7" t="n"/>
      <c r="D202" s="7" t="n"/>
      <c r="E202">
        <f>IF(C202="","",IF(C202&lt;=2,"Yes","No"))</f>
        <v/>
      </c>
      <c r="G202" s="7" t="n"/>
    </row>
    <row r="203">
      <c r="A203" s="7" t="n"/>
      <c r="D203" s="7" t="n"/>
      <c r="E203">
        <f>IF(C203="","",IF(C203&lt;=2,"Yes","No"))</f>
        <v/>
      </c>
      <c r="G203" s="7" t="n"/>
    </row>
    <row r="204">
      <c r="A204" s="7" t="n"/>
      <c r="D204" s="7" t="n"/>
      <c r="E204">
        <f>IF(C204="","",IF(C204&lt;=2,"Yes","No"))</f>
        <v/>
      </c>
      <c r="G204" s="7" t="n"/>
    </row>
    <row r="205">
      <c r="A205" s="7" t="n"/>
      <c r="D205" s="7" t="n"/>
      <c r="E205">
        <f>IF(C205="","",IF(C205&lt;=2,"Yes","No"))</f>
        <v/>
      </c>
      <c r="G205" s="7" t="n"/>
    </row>
    <row r="206">
      <c r="A206" s="7" t="n"/>
      <c r="D206" s="7" t="n"/>
      <c r="E206">
        <f>IF(C206="","",IF(C206&lt;=2,"Yes","No"))</f>
        <v/>
      </c>
      <c r="G206" s="7" t="n"/>
    </row>
    <row r="207">
      <c r="A207" s="7" t="n"/>
      <c r="D207" s="7" t="n"/>
      <c r="E207">
        <f>IF(C207="","",IF(C207&lt;=2,"Yes","No"))</f>
        <v/>
      </c>
      <c r="G207" s="7" t="n"/>
    </row>
    <row r="208">
      <c r="A208" s="7" t="n"/>
      <c r="D208" s="7" t="n"/>
      <c r="E208">
        <f>IF(C208="","",IF(C208&lt;=2,"Yes","No"))</f>
        <v/>
      </c>
      <c r="G208" s="7" t="n"/>
    </row>
    <row r="209">
      <c r="A209" s="7" t="n"/>
      <c r="D209" s="7" t="n"/>
      <c r="E209">
        <f>IF(C209="","",IF(C209&lt;=2,"Yes","No"))</f>
        <v/>
      </c>
      <c r="G209" s="7" t="n"/>
    </row>
    <row r="210">
      <c r="A210" s="7" t="n"/>
      <c r="D210" s="7" t="n"/>
      <c r="E210">
        <f>IF(C210="","",IF(C210&lt;=2,"Yes","No"))</f>
        <v/>
      </c>
      <c r="G210" s="7" t="n"/>
    </row>
    <row r="211">
      <c r="A211" s="7" t="n"/>
      <c r="D211" s="7" t="n"/>
      <c r="E211">
        <f>IF(C211="","",IF(C211&lt;=2,"Yes","No"))</f>
        <v/>
      </c>
      <c r="G211" s="7" t="n"/>
    </row>
    <row r="212">
      <c r="A212" s="7" t="n"/>
      <c r="D212" s="7" t="n"/>
      <c r="E212">
        <f>IF(C212="","",IF(C212&lt;=2,"Yes","No"))</f>
        <v/>
      </c>
      <c r="G212" s="7" t="n"/>
    </row>
    <row r="213">
      <c r="A213" s="7" t="n"/>
      <c r="D213" s="7" t="n"/>
      <c r="E213">
        <f>IF(C213="","",IF(C213&lt;=2,"Yes","No"))</f>
        <v/>
      </c>
      <c r="G213" s="7" t="n"/>
    </row>
    <row r="214">
      <c r="A214" s="7" t="n"/>
      <c r="D214" s="7" t="n"/>
      <c r="E214">
        <f>IF(C214="","",IF(C214&lt;=2,"Yes","No"))</f>
        <v/>
      </c>
      <c r="G214" s="7" t="n"/>
    </row>
    <row r="215">
      <c r="A215" s="7" t="n"/>
      <c r="D215" s="7" t="n"/>
      <c r="E215">
        <f>IF(C215="","",IF(C215&lt;=2,"Yes","No"))</f>
        <v/>
      </c>
      <c r="G215" s="7" t="n"/>
    </row>
    <row r="216">
      <c r="A216" s="7" t="n"/>
      <c r="D216" s="7" t="n"/>
      <c r="E216">
        <f>IF(C216="","",IF(C216&lt;=2,"Yes","No"))</f>
        <v/>
      </c>
      <c r="G216" s="7" t="n"/>
    </row>
    <row r="217">
      <c r="A217" s="7" t="n"/>
      <c r="D217" s="7" t="n"/>
      <c r="E217">
        <f>IF(C217="","",IF(C217&lt;=2,"Yes","No"))</f>
        <v/>
      </c>
      <c r="G217" s="7" t="n"/>
    </row>
    <row r="218">
      <c r="A218" s="7" t="n"/>
      <c r="D218" s="7" t="n"/>
      <c r="E218">
        <f>IF(C218="","",IF(C218&lt;=2,"Yes","No"))</f>
        <v/>
      </c>
      <c r="G218" s="7" t="n"/>
    </row>
    <row r="219">
      <c r="A219" s="7" t="n"/>
      <c r="D219" s="7" t="n"/>
      <c r="E219">
        <f>IF(C219="","",IF(C219&lt;=2,"Yes","No"))</f>
        <v/>
      </c>
      <c r="G219" s="7" t="n"/>
    </row>
    <row r="220">
      <c r="A220" s="7" t="n"/>
      <c r="D220" s="7" t="n"/>
      <c r="E220">
        <f>IF(C220="","",IF(C220&lt;=2,"Yes","No"))</f>
        <v/>
      </c>
      <c r="G220" s="7" t="n"/>
    </row>
    <row r="221">
      <c r="A221" s="7" t="n"/>
      <c r="D221" s="7" t="n"/>
      <c r="E221">
        <f>IF(C221="","",IF(C221&lt;=2,"Yes","No"))</f>
        <v/>
      </c>
      <c r="G221" s="7" t="n"/>
    </row>
    <row r="222">
      <c r="A222" s="7" t="n"/>
      <c r="D222" s="7" t="n"/>
      <c r="E222">
        <f>IF(C222="","",IF(C222&lt;=2,"Yes","No"))</f>
        <v/>
      </c>
      <c r="G222" s="7" t="n"/>
    </row>
    <row r="223">
      <c r="A223" s="7" t="n"/>
      <c r="D223" s="7" t="n"/>
      <c r="E223">
        <f>IF(C223="","",IF(C223&lt;=2,"Yes","No"))</f>
        <v/>
      </c>
      <c r="G223" s="7" t="n"/>
    </row>
    <row r="224">
      <c r="A224" s="7" t="n"/>
      <c r="D224" s="7" t="n"/>
      <c r="E224">
        <f>IF(C224="","",IF(C224&lt;=2,"Yes","No"))</f>
        <v/>
      </c>
      <c r="G224" s="7" t="n"/>
    </row>
    <row r="225">
      <c r="A225" s="7" t="n"/>
      <c r="D225" s="7" t="n"/>
      <c r="E225">
        <f>IF(C225="","",IF(C225&lt;=2,"Yes","No"))</f>
        <v/>
      </c>
      <c r="G225" s="7" t="n"/>
    </row>
    <row r="226">
      <c r="A226" s="7" t="n"/>
      <c r="D226" s="7" t="n"/>
      <c r="E226">
        <f>IF(C226="","",IF(C226&lt;=2,"Yes","No"))</f>
        <v/>
      </c>
      <c r="G226" s="7" t="n"/>
    </row>
    <row r="227">
      <c r="A227" s="7" t="n"/>
      <c r="D227" s="7" t="n"/>
      <c r="E227">
        <f>IF(C227="","",IF(C227&lt;=2,"Yes","No"))</f>
        <v/>
      </c>
      <c r="G227" s="7" t="n"/>
    </row>
    <row r="228">
      <c r="A228" s="7" t="n"/>
      <c r="D228" s="7" t="n"/>
      <c r="E228">
        <f>IF(C228="","",IF(C228&lt;=2,"Yes","No"))</f>
        <v/>
      </c>
      <c r="G228" s="7" t="n"/>
    </row>
    <row r="229">
      <c r="A229" s="7" t="n"/>
      <c r="D229" s="7" t="n"/>
      <c r="E229">
        <f>IF(C229="","",IF(C229&lt;=2,"Yes","No"))</f>
        <v/>
      </c>
      <c r="G229" s="7" t="n"/>
    </row>
    <row r="230">
      <c r="A230" s="7" t="n"/>
      <c r="D230" s="7" t="n"/>
      <c r="E230">
        <f>IF(C230="","",IF(C230&lt;=2,"Yes","No"))</f>
        <v/>
      </c>
      <c r="G230" s="7" t="n"/>
    </row>
    <row r="231">
      <c r="A231" s="7" t="n"/>
      <c r="D231" s="7" t="n"/>
      <c r="E231">
        <f>IF(C231="","",IF(C231&lt;=2,"Yes","No"))</f>
        <v/>
      </c>
      <c r="G231" s="7" t="n"/>
    </row>
    <row r="232">
      <c r="A232" s="7" t="n"/>
      <c r="D232" s="7" t="n"/>
      <c r="E232">
        <f>IF(C232="","",IF(C232&lt;=2,"Yes","No"))</f>
        <v/>
      </c>
      <c r="G232" s="7" t="n"/>
    </row>
    <row r="233">
      <c r="A233" s="7" t="n"/>
      <c r="D233" s="7" t="n"/>
      <c r="E233">
        <f>IF(C233="","",IF(C233&lt;=2,"Yes","No"))</f>
        <v/>
      </c>
      <c r="G233" s="7" t="n"/>
    </row>
    <row r="234">
      <c r="A234" s="7" t="n"/>
      <c r="D234" s="7" t="n"/>
      <c r="E234">
        <f>IF(C234="","",IF(C234&lt;=2,"Yes","No"))</f>
        <v/>
      </c>
      <c r="G234" s="7" t="n"/>
    </row>
    <row r="235">
      <c r="A235" s="7" t="n"/>
      <c r="D235" s="7" t="n"/>
      <c r="E235">
        <f>IF(C235="","",IF(C235&lt;=2,"Yes","No"))</f>
        <v/>
      </c>
      <c r="G235" s="7" t="n"/>
    </row>
    <row r="236">
      <c r="A236" s="7" t="n"/>
      <c r="D236" s="7" t="n"/>
      <c r="E236">
        <f>IF(C236="","",IF(C236&lt;=2,"Yes","No"))</f>
        <v/>
      </c>
      <c r="G236" s="7" t="n"/>
    </row>
    <row r="237">
      <c r="A237" s="7" t="n"/>
      <c r="D237" s="7" t="n"/>
      <c r="E237">
        <f>IF(C237="","",IF(C237&lt;=2,"Yes","No"))</f>
        <v/>
      </c>
      <c r="G237" s="7" t="n"/>
    </row>
    <row r="238">
      <c r="A238" s="7" t="n"/>
      <c r="D238" s="7" t="n"/>
      <c r="E238">
        <f>IF(C238="","",IF(C238&lt;=2,"Yes","No"))</f>
        <v/>
      </c>
      <c r="G238" s="7" t="n"/>
    </row>
    <row r="239">
      <c r="A239" s="7" t="n"/>
      <c r="D239" s="7" t="n"/>
      <c r="E239">
        <f>IF(C239="","",IF(C239&lt;=2,"Yes","No"))</f>
        <v/>
      </c>
      <c r="G239" s="7" t="n"/>
    </row>
    <row r="240">
      <c r="A240" s="7" t="n"/>
      <c r="D240" s="7" t="n"/>
      <c r="E240">
        <f>IF(C240="","",IF(C240&lt;=2,"Yes","No"))</f>
        <v/>
      </c>
      <c r="G240" s="7" t="n"/>
    </row>
    <row r="241">
      <c r="A241" s="7" t="n"/>
      <c r="D241" s="7" t="n"/>
      <c r="E241">
        <f>IF(C241="","",IF(C241&lt;=2,"Yes","No"))</f>
        <v/>
      </c>
      <c r="G241" s="7" t="n"/>
    </row>
    <row r="242">
      <c r="A242" s="7" t="n"/>
      <c r="D242" s="7" t="n"/>
      <c r="E242">
        <f>IF(C242="","",IF(C242&lt;=2,"Yes","No"))</f>
        <v/>
      </c>
      <c r="G242" s="7" t="n"/>
    </row>
    <row r="243">
      <c r="A243" s="7" t="n"/>
      <c r="D243" s="7" t="n"/>
      <c r="E243">
        <f>IF(C243="","",IF(C243&lt;=2,"Yes","No"))</f>
        <v/>
      </c>
      <c r="G243" s="7" t="n"/>
    </row>
    <row r="244">
      <c r="A244" s="7" t="n"/>
      <c r="D244" s="7" t="n"/>
      <c r="E244">
        <f>IF(C244="","",IF(C244&lt;=2,"Yes","No"))</f>
        <v/>
      </c>
      <c r="G244" s="7" t="n"/>
    </row>
    <row r="245">
      <c r="A245" s="7" t="n"/>
      <c r="D245" s="7" t="n"/>
      <c r="E245">
        <f>IF(C245="","",IF(C245&lt;=2,"Yes","No"))</f>
        <v/>
      </c>
      <c r="G245" s="7" t="n"/>
    </row>
    <row r="246">
      <c r="A246" s="7" t="n"/>
      <c r="D246" s="7" t="n"/>
      <c r="E246">
        <f>IF(C246="","",IF(C246&lt;=2,"Yes","No"))</f>
        <v/>
      </c>
      <c r="G246" s="7" t="n"/>
    </row>
    <row r="247">
      <c r="A247" s="7" t="n"/>
      <c r="D247" s="7" t="n"/>
      <c r="E247">
        <f>IF(C247="","",IF(C247&lt;=2,"Yes","No"))</f>
        <v/>
      </c>
      <c r="G247" s="7" t="n"/>
    </row>
    <row r="248">
      <c r="A248" s="7" t="n"/>
      <c r="D248" s="7" t="n"/>
      <c r="E248">
        <f>IF(C248="","",IF(C248&lt;=2,"Yes","No"))</f>
        <v/>
      </c>
      <c r="G248" s="7" t="n"/>
    </row>
    <row r="249">
      <c r="A249" s="7" t="n"/>
      <c r="D249" s="7" t="n"/>
      <c r="E249">
        <f>IF(C249="","",IF(C249&lt;=2,"Yes","No"))</f>
        <v/>
      </c>
      <c r="G249" s="7" t="n"/>
    </row>
    <row r="250">
      <c r="A250" s="7" t="n"/>
      <c r="D250" s="7" t="n"/>
      <c r="E250">
        <f>IF(C250="","",IF(C250&lt;=2,"Yes","No"))</f>
        <v/>
      </c>
      <c r="G250" s="7" t="n"/>
    </row>
    <row r="251">
      <c r="A251" s="7" t="n"/>
      <c r="D251" s="7" t="n"/>
      <c r="E251">
        <f>IF(C251="","",IF(C251&lt;=2,"Yes","No"))</f>
        <v/>
      </c>
      <c r="G251" s="7" t="n"/>
    </row>
    <row r="252">
      <c r="A252" s="7" t="n"/>
      <c r="D252" s="7" t="n"/>
      <c r="E252">
        <f>IF(C252="","",IF(C252&lt;=2,"Yes","No"))</f>
        <v/>
      </c>
      <c r="G252" s="7" t="n"/>
    </row>
    <row r="253">
      <c r="A253" s="7" t="n"/>
      <c r="D253" s="7" t="n"/>
      <c r="E253">
        <f>IF(C253="","",IF(C253&lt;=2,"Yes","No"))</f>
        <v/>
      </c>
      <c r="G253" s="7" t="n"/>
    </row>
    <row r="254">
      <c r="A254" s="7" t="n"/>
      <c r="D254" s="7" t="n"/>
      <c r="E254">
        <f>IF(C254="","",IF(C254&lt;=2,"Yes","No"))</f>
        <v/>
      </c>
      <c r="G254" s="7" t="n"/>
    </row>
    <row r="255">
      <c r="A255" s="7" t="n"/>
      <c r="D255" s="7" t="n"/>
      <c r="E255">
        <f>IF(C255="","",IF(C255&lt;=2,"Yes","No"))</f>
        <v/>
      </c>
      <c r="G255" s="7" t="n"/>
    </row>
    <row r="256">
      <c r="A256" s="7" t="n"/>
      <c r="D256" s="7" t="n"/>
      <c r="E256">
        <f>IF(C256="","",IF(C256&lt;=2,"Yes","No"))</f>
        <v/>
      </c>
      <c r="G256" s="7" t="n"/>
    </row>
    <row r="257">
      <c r="A257" s="7" t="n"/>
      <c r="D257" s="7" t="n"/>
      <c r="E257">
        <f>IF(C257="","",IF(C257&lt;=2,"Yes","No"))</f>
        <v/>
      </c>
      <c r="G257" s="7" t="n"/>
    </row>
    <row r="258">
      <c r="A258" s="7" t="n"/>
      <c r="D258" s="7" t="n"/>
      <c r="E258">
        <f>IF(C258="","",IF(C258&lt;=2,"Yes","No"))</f>
        <v/>
      </c>
      <c r="G258" s="7" t="n"/>
    </row>
    <row r="259">
      <c r="A259" s="7" t="n"/>
      <c r="D259" s="7" t="n"/>
      <c r="E259">
        <f>IF(C259="","",IF(C259&lt;=2,"Yes","No"))</f>
        <v/>
      </c>
      <c r="G259" s="7" t="n"/>
    </row>
    <row r="260">
      <c r="A260" s="7" t="n"/>
      <c r="D260" s="7" t="n"/>
      <c r="E260">
        <f>IF(C260="","",IF(C260&lt;=2,"Yes","No"))</f>
        <v/>
      </c>
      <c r="G260" s="7" t="n"/>
    </row>
    <row r="261">
      <c r="A261" s="7" t="n"/>
      <c r="D261" s="7" t="n"/>
      <c r="E261">
        <f>IF(C261="","",IF(C261&lt;=2,"Yes","No"))</f>
        <v/>
      </c>
      <c r="G261" s="7" t="n"/>
    </row>
    <row r="262">
      <c r="A262" s="7" t="n"/>
      <c r="D262" s="7" t="n"/>
      <c r="E262">
        <f>IF(C262="","",IF(C262&lt;=2,"Yes","No"))</f>
        <v/>
      </c>
      <c r="G262" s="7" t="n"/>
    </row>
    <row r="263">
      <c r="A263" s="7" t="n"/>
      <c r="D263" s="7" t="n"/>
      <c r="E263">
        <f>IF(C263="","",IF(C263&lt;=2,"Yes","No"))</f>
        <v/>
      </c>
      <c r="G263" s="7" t="n"/>
    </row>
    <row r="264">
      <c r="A264" s="7" t="n"/>
      <c r="D264" s="7" t="n"/>
      <c r="E264">
        <f>IF(C264="","",IF(C264&lt;=2,"Yes","No"))</f>
        <v/>
      </c>
      <c r="G264" s="7" t="n"/>
    </row>
    <row r="265">
      <c r="A265" s="7" t="n"/>
      <c r="D265" s="7" t="n"/>
      <c r="E265">
        <f>IF(C265="","",IF(C265&lt;=2,"Yes","No"))</f>
        <v/>
      </c>
      <c r="G265" s="7" t="n"/>
    </row>
    <row r="266">
      <c r="A266" s="7" t="n"/>
      <c r="D266" s="7" t="n"/>
      <c r="E266">
        <f>IF(C266="","",IF(C266&lt;=2,"Yes","No"))</f>
        <v/>
      </c>
      <c r="G266" s="7" t="n"/>
    </row>
    <row r="267">
      <c r="A267" s="7" t="n"/>
      <c r="D267" s="7" t="n"/>
      <c r="E267">
        <f>IF(C267="","",IF(C267&lt;=2,"Yes","No"))</f>
        <v/>
      </c>
      <c r="G267" s="7" t="n"/>
    </row>
    <row r="268">
      <c r="A268" s="7" t="n"/>
      <c r="D268" s="7" t="n"/>
      <c r="E268">
        <f>IF(C268="","",IF(C268&lt;=2,"Yes","No"))</f>
        <v/>
      </c>
      <c r="G268" s="7" t="n"/>
    </row>
    <row r="269">
      <c r="A269" s="7" t="n"/>
      <c r="D269" s="7" t="n"/>
      <c r="E269">
        <f>IF(C269="","",IF(C269&lt;=2,"Yes","No"))</f>
        <v/>
      </c>
      <c r="G269" s="7" t="n"/>
    </row>
    <row r="270">
      <c r="A270" s="7" t="n"/>
      <c r="D270" s="7" t="n"/>
      <c r="E270">
        <f>IF(C270="","",IF(C270&lt;=2,"Yes","No"))</f>
        <v/>
      </c>
      <c r="G270" s="7" t="n"/>
    </row>
    <row r="271">
      <c r="A271" s="7" t="n"/>
      <c r="D271" s="7" t="n"/>
      <c r="E271">
        <f>IF(C271="","",IF(C271&lt;=2,"Yes","No"))</f>
        <v/>
      </c>
      <c r="G271" s="7" t="n"/>
    </row>
    <row r="272">
      <c r="A272" s="7" t="n"/>
      <c r="D272" s="7" t="n"/>
      <c r="E272">
        <f>IF(C272="","",IF(C272&lt;=2,"Yes","No"))</f>
        <v/>
      </c>
      <c r="G272" s="7" t="n"/>
    </row>
    <row r="273">
      <c r="A273" s="7" t="n"/>
      <c r="D273" s="7" t="n"/>
      <c r="E273">
        <f>IF(C273="","",IF(C273&lt;=2,"Yes","No"))</f>
        <v/>
      </c>
      <c r="G273" s="7" t="n"/>
    </row>
    <row r="274">
      <c r="A274" s="7" t="n"/>
      <c r="D274" s="7" t="n"/>
      <c r="E274">
        <f>IF(C274="","",IF(C274&lt;=2,"Yes","No"))</f>
        <v/>
      </c>
      <c r="G274" s="7" t="n"/>
    </row>
    <row r="275">
      <c r="A275" s="7" t="n"/>
      <c r="D275" s="7" t="n"/>
      <c r="E275">
        <f>IF(C275="","",IF(C275&lt;=2,"Yes","No"))</f>
        <v/>
      </c>
      <c r="G275" s="7" t="n"/>
    </row>
    <row r="276">
      <c r="A276" s="7" t="n"/>
      <c r="D276" s="7" t="n"/>
      <c r="E276">
        <f>IF(C276="","",IF(C276&lt;=2,"Yes","No"))</f>
        <v/>
      </c>
      <c r="G276" s="7" t="n"/>
    </row>
    <row r="277">
      <c r="A277" s="7" t="n"/>
      <c r="D277" s="7" t="n"/>
      <c r="E277">
        <f>IF(C277="","",IF(C277&lt;=2,"Yes","No"))</f>
        <v/>
      </c>
      <c r="G277" s="7" t="n"/>
    </row>
    <row r="278">
      <c r="A278" s="7" t="n"/>
      <c r="D278" s="7" t="n"/>
      <c r="E278">
        <f>IF(C278="","",IF(C278&lt;=2,"Yes","No"))</f>
        <v/>
      </c>
      <c r="G278" s="7" t="n"/>
    </row>
    <row r="279">
      <c r="A279" s="7" t="n"/>
      <c r="D279" s="7" t="n"/>
      <c r="E279">
        <f>IF(C279="","",IF(C279&lt;=2,"Yes","No"))</f>
        <v/>
      </c>
      <c r="G279" s="7" t="n"/>
    </row>
    <row r="280">
      <c r="A280" s="7" t="n"/>
      <c r="D280" s="7" t="n"/>
      <c r="E280">
        <f>IF(C280="","",IF(C280&lt;=2,"Yes","No"))</f>
        <v/>
      </c>
      <c r="G280" s="7" t="n"/>
    </row>
    <row r="281">
      <c r="A281" s="7" t="n"/>
      <c r="D281" s="7" t="n"/>
      <c r="E281">
        <f>IF(C281="","",IF(C281&lt;=2,"Yes","No"))</f>
        <v/>
      </c>
      <c r="G281" s="7" t="n"/>
    </row>
    <row r="282">
      <c r="A282" s="7" t="n"/>
      <c r="D282" s="7" t="n"/>
      <c r="E282">
        <f>IF(C282="","",IF(C282&lt;=2,"Yes","No"))</f>
        <v/>
      </c>
      <c r="G282" s="7" t="n"/>
    </row>
    <row r="283">
      <c r="A283" s="7" t="n"/>
      <c r="D283" s="7" t="n"/>
      <c r="E283">
        <f>IF(C283="","",IF(C283&lt;=2,"Yes","No"))</f>
        <v/>
      </c>
      <c r="G283" s="7" t="n"/>
    </row>
    <row r="284">
      <c r="A284" s="7" t="n"/>
      <c r="D284" s="7" t="n"/>
      <c r="E284">
        <f>IF(C284="","",IF(C284&lt;=2,"Yes","No"))</f>
        <v/>
      </c>
      <c r="G284" s="7" t="n"/>
    </row>
    <row r="285">
      <c r="A285" s="7" t="n"/>
      <c r="D285" s="7" t="n"/>
      <c r="E285">
        <f>IF(C285="","",IF(C285&lt;=2,"Yes","No"))</f>
        <v/>
      </c>
      <c r="G285" s="7" t="n"/>
    </row>
    <row r="286">
      <c r="A286" s="7" t="n"/>
      <c r="D286" s="7" t="n"/>
      <c r="E286">
        <f>IF(C286="","",IF(C286&lt;=2,"Yes","No"))</f>
        <v/>
      </c>
      <c r="G286" s="7" t="n"/>
    </row>
    <row r="287">
      <c r="A287" s="7" t="n"/>
      <c r="D287" s="7" t="n"/>
      <c r="E287">
        <f>IF(C287="","",IF(C287&lt;=2,"Yes","No"))</f>
        <v/>
      </c>
      <c r="G287" s="7" t="n"/>
    </row>
    <row r="288">
      <c r="A288" s="7" t="n"/>
      <c r="D288" s="7" t="n"/>
      <c r="E288">
        <f>IF(C288="","",IF(C288&lt;=2,"Yes","No"))</f>
        <v/>
      </c>
      <c r="G288" s="7" t="n"/>
    </row>
    <row r="289">
      <c r="A289" s="7" t="n"/>
      <c r="D289" s="7" t="n"/>
      <c r="E289">
        <f>IF(C289="","",IF(C289&lt;=2,"Yes","No"))</f>
        <v/>
      </c>
      <c r="G289" s="7" t="n"/>
    </row>
    <row r="290">
      <c r="A290" s="7" t="n"/>
      <c r="D290" s="7" t="n"/>
      <c r="E290">
        <f>IF(C290="","",IF(C290&lt;=2,"Yes","No"))</f>
        <v/>
      </c>
      <c r="G290" s="7" t="n"/>
    </row>
    <row r="291">
      <c r="A291" s="7" t="n"/>
      <c r="D291" s="7" t="n"/>
      <c r="E291">
        <f>IF(C291="","",IF(C291&lt;=2,"Yes","No"))</f>
        <v/>
      </c>
      <c r="G291" s="7" t="n"/>
    </row>
    <row r="292">
      <c r="A292" s="7" t="n"/>
      <c r="D292" s="7" t="n"/>
      <c r="E292">
        <f>IF(C292="","",IF(C292&lt;=2,"Yes","No"))</f>
        <v/>
      </c>
      <c r="G292" s="7" t="n"/>
    </row>
    <row r="293">
      <c r="A293" s="7" t="n"/>
      <c r="D293" s="7" t="n"/>
      <c r="E293">
        <f>IF(C293="","",IF(C293&lt;=2,"Yes","No"))</f>
        <v/>
      </c>
      <c r="G293" s="7" t="n"/>
    </row>
    <row r="294">
      <c r="A294" s="7" t="n"/>
      <c r="D294" s="7" t="n"/>
      <c r="E294">
        <f>IF(C294="","",IF(C294&lt;=2,"Yes","No"))</f>
        <v/>
      </c>
      <c r="G294" s="7" t="n"/>
    </row>
    <row r="295">
      <c r="A295" s="7" t="n"/>
      <c r="D295" s="7" t="n"/>
      <c r="E295">
        <f>IF(C295="","",IF(C295&lt;=2,"Yes","No"))</f>
        <v/>
      </c>
      <c r="G295" s="7" t="n"/>
    </row>
    <row r="296">
      <c r="A296" s="7" t="n"/>
      <c r="D296" s="7" t="n"/>
      <c r="E296">
        <f>IF(C296="","",IF(C296&lt;=2,"Yes","No"))</f>
        <v/>
      </c>
      <c r="G296" s="7" t="n"/>
    </row>
    <row r="297">
      <c r="A297" s="7" t="n"/>
      <c r="D297" s="7" t="n"/>
      <c r="E297">
        <f>IF(C297="","",IF(C297&lt;=2,"Yes","No"))</f>
        <v/>
      </c>
      <c r="G297" s="7" t="n"/>
    </row>
    <row r="298">
      <c r="A298" s="7" t="n"/>
      <c r="D298" s="7" t="n"/>
      <c r="E298">
        <f>IF(C298="","",IF(C298&lt;=2,"Yes","No"))</f>
        <v/>
      </c>
      <c r="G298" s="7" t="n"/>
    </row>
    <row r="299">
      <c r="A299" s="7" t="n"/>
      <c r="D299" s="7" t="n"/>
      <c r="E299">
        <f>IF(C299="","",IF(C299&lt;=2,"Yes","No"))</f>
        <v/>
      </c>
      <c r="G299" s="7" t="n"/>
    </row>
    <row r="300">
      <c r="A300" s="7" t="n"/>
      <c r="D300" s="7" t="n"/>
      <c r="E300">
        <f>IF(C300="","",IF(C300&lt;=2,"Yes","No"))</f>
        <v/>
      </c>
      <c r="G300" s="7" t="n"/>
    </row>
    <row r="301">
      <c r="A301" s="7" t="n"/>
      <c r="D301" s="7" t="n"/>
      <c r="E301">
        <f>IF(C301="","",IF(C301&lt;=2,"Yes","No"))</f>
        <v/>
      </c>
      <c r="G301" s="7" t="n"/>
    </row>
    <row r="302">
      <c r="A302" s="7" t="n"/>
      <c r="D302" s="7" t="n"/>
      <c r="E302">
        <f>IF(C302="","",IF(C302&lt;=2,"Yes","No"))</f>
        <v/>
      </c>
      <c r="G302" s="7" t="n"/>
    </row>
    <row r="303">
      <c r="A303" s="7" t="n"/>
      <c r="D303" s="7" t="n"/>
      <c r="E303">
        <f>IF(C303="","",IF(C303&lt;=2,"Yes","No"))</f>
        <v/>
      </c>
      <c r="G303" s="7" t="n"/>
    </row>
    <row r="304">
      <c r="A304" s="7" t="n"/>
      <c r="D304" s="7" t="n"/>
      <c r="E304">
        <f>IF(C304="","",IF(C304&lt;=2,"Yes","No"))</f>
        <v/>
      </c>
      <c r="G304" s="7" t="n"/>
    </row>
    <row r="305">
      <c r="A305" s="7" t="n"/>
      <c r="D305" s="7" t="n"/>
      <c r="E305">
        <f>IF(C305="","",IF(C305&lt;=2,"Yes","No"))</f>
        <v/>
      </c>
      <c r="G305" s="7" t="n"/>
    </row>
    <row r="306">
      <c r="A306" s="7" t="n"/>
      <c r="D306" s="7" t="n"/>
      <c r="E306">
        <f>IF(C306="","",IF(C306&lt;=2,"Yes","No"))</f>
        <v/>
      </c>
      <c r="G306" s="7" t="n"/>
    </row>
    <row r="307">
      <c r="A307" s="7" t="n"/>
      <c r="D307" s="7" t="n"/>
      <c r="E307">
        <f>IF(C307="","",IF(C307&lt;=2,"Yes","No"))</f>
        <v/>
      </c>
      <c r="G307" s="7" t="n"/>
    </row>
    <row r="308">
      <c r="A308" s="7" t="n"/>
      <c r="D308" s="7" t="n"/>
      <c r="E308">
        <f>IF(C308="","",IF(C308&lt;=2,"Yes","No"))</f>
        <v/>
      </c>
      <c r="G308" s="7" t="n"/>
    </row>
    <row r="309">
      <c r="A309" s="7" t="n"/>
      <c r="D309" s="7" t="n"/>
      <c r="E309">
        <f>IF(C309="","",IF(C309&lt;=2,"Yes","No"))</f>
        <v/>
      </c>
      <c r="G309" s="7" t="n"/>
    </row>
    <row r="310">
      <c r="A310" s="7" t="n"/>
      <c r="D310" s="7" t="n"/>
      <c r="E310">
        <f>IF(C310="","",IF(C310&lt;=2,"Yes","No"))</f>
        <v/>
      </c>
      <c r="G310" s="7" t="n"/>
    </row>
    <row r="311">
      <c r="A311" s="7" t="n"/>
      <c r="D311" s="7" t="n"/>
      <c r="E311">
        <f>IF(C311="","",IF(C311&lt;=2,"Yes","No"))</f>
        <v/>
      </c>
      <c r="G311" s="7" t="n"/>
    </row>
    <row r="312">
      <c r="A312" s="7" t="n"/>
      <c r="D312" s="7" t="n"/>
      <c r="E312">
        <f>IF(C312="","",IF(C312&lt;=2,"Yes","No"))</f>
        <v/>
      </c>
      <c r="G312" s="7" t="n"/>
    </row>
    <row r="313">
      <c r="A313" s="7" t="n"/>
      <c r="D313" s="7" t="n"/>
      <c r="E313">
        <f>IF(C313="","",IF(C313&lt;=2,"Yes","No"))</f>
        <v/>
      </c>
      <c r="G313" s="7" t="n"/>
    </row>
    <row r="314">
      <c r="A314" s="7" t="n"/>
      <c r="D314" s="7" t="n"/>
      <c r="E314">
        <f>IF(C314="","",IF(C314&lt;=2,"Yes","No"))</f>
        <v/>
      </c>
      <c r="G314" s="7" t="n"/>
    </row>
    <row r="315">
      <c r="A315" s="7" t="n"/>
      <c r="D315" s="7" t="n"/>
      <c r="E315">
        <f>IF(C315="","",IF(C315&lt;=2,"Yes","No"))</f>
        <v/>
      </c>
      <c r="G315" s="7" t="n"/>
    </row>
    <row r="316">
      <c r="A316" s="7" t="n"/>
      <c r="D316" s="7" t="n"/>
      <c r="E316">
        <f>IF(C316="","",IF(C316&lt;=2,"Yes","No"))</f>
        <v/>
      </c>
      <c r="G316" s="7" t="n"/>
    </row>
    <row r="317">
      <c r="A317" s="7" t="n"/>
      <c r="D317" s="7" t="n"/>
      <c r="E317">
        <f>IF(C317="","",IF(C317&lt;=2,"Yes","No"))</f>
        <v/>
      </c>
      <c r="G317" s="7" t="n"/>
    </row>
    <row r="318">
      <c r="A318" s="7" t="n"/>
      <c r="D318" s="7" t="n"/>
      <c r="E318">
        <f>IF(C318="","",IF(C318&lt;=2,"Yes","No"))</f>
        <v/>
      </c>
      <c r="G318" s="7" t="n"/>
    </row>
    <row r="319">
      <c r="A319" s="7" t="n"/>
      <c r="D319" s="7" t="n"/>
      <c r="E319">
        <f>IF(C319="","",IF(C319&lt;=2,"Yes","No"))</f>
        <v/>
      </c>
      <c r="G319" s="7" t="n"/>
    </row>
    <row r="320">
      <c r="A320" s="7" t="n"/>
      <c r="D320" s="7" t="n"/>
      <c r="E320">
        <f>IF(C320="","",IF(C320&lt;=2,"Yes","No"))</f>
        <v/>
      </c>
      <c r="G320" s="7" t="n"/>
    </row>
    <row r="321">
      <c r="A321" s="7" t="n"/>
      <c r="D321" s="7" t="n"/>
      <c r="E321">
        <f>IF(C321="","",IF(C321&lt;=2,"Yes","No"))</f>
        <v/>
      </c>
      <c r="G321" s="7" t="n"/>
    </row>
    <row r="322">
      <c r="A322" s="7" t="n"/>
      <c r="D322" s="7" t="n"/>
      <c r="E322">
        <f>IF(C322="","",IF(C322&lt;=2,"Yes","No"))</f>
        <v/>
      </c>
      <c r="G322" s="7" t="n"/>
    </row>
    <row r="323">
      <c r="A323" s="7" t="n"/>
      <c r="D323" s="7" t="n"/>
      <c r="E323">
        <f>IF(C323="","",IF(C323&lt;=2,"Yes","No"))</f>
        <v/>
      </c>
      <c r="G323" s="7" t="n"/>
    </row>
    <row r="324">
      <c r="A324" s="7" t="n"/>
      <c r="D324" s="7" t="n"/>
      <c r="E324">
        <f>IF(C324="","",IF(C324&lt;=2,"Yes","No"))</f>
        <v/>
      </c>
      <c r="G324" s="7" t="n"/>
    </row>
    <row r="325">
      <c r="A325" s="7" t="n"/>
      <c r="D325" s="7" t="n"/>
      <c r="E325">
        <f>IF(C325="","",IF(C325&lt;=2,"Yes","No"))</f>
        <v/>
      </c>
      <c r="G325" s="7" t="n"/>
    </row>
    <row r="326">
      <c r="A326" s="7" t="n"/>
      <c r="D326" s="7" t="n"/>
      <c r="E326">
        <f>IF(C326="","",IF(C326&lt;=2,"Yes","No"))</f>
        <v/>
      </c>
      <c r="G326" s="7" t="n"/>
    </row>
    <row r="327">
      <c r="A327" s="7" t="n"/>
      <c r="D327" s="7" t="n"/>
      <c r="E327">
        <f>IF(C327="","",IF(C327&lt;=2,"Yes","No"))</f>
        <v/>
      </c>
      <c r="G327" s="7" t="n"/>
    </row>
    <row r="328">
      <c r="A328" s="7" t="n"/>
      <c r="D328" s="7" t="n"/>
      <c r="E328">
        <f>IF(C328="","",IF(C328&lt;=2,"Yes","No"))</f>
        <v/>
      </c>
      <c r="G328" s="7" t="n"/>
    </row>
    <row r="329">
      <c r="A329" s="7" t="n"/>
      <c r="D329" s="7" t="n"/>
      <c r="E329">
        <f>IF(C329="","",IF(C329&lt;=2,"Yes","No"))</f>
        <v/>
      </c>
      <c r="G329" s="7" t="n"/>
    </row>
    <row r="330">
      <c r="A330" s="7" t="n"/>
      <c r="D330" s="7" t="n"/>
      <c r="E330">
        <f>IF(C330="","",IF(C330&lt;=2,"Yes","No"))</f>
        <v/>
      </c>
      <c r="G330" s="7" t="n"/>
    </row>
    <row r="331">
      <c r="A331" s="7" t="n"/>
      <c r="D331" s="7" t="n"/>
      <c r="E331">
        <f>IF(C331="","",IF(C331&lt;=2,"Yes","No"))</f>
        <v/>
      </c>
      <c r="G331" s="7" t="n"/>
    </row>
    <row r="332">
      <c r="A332" s="7" t="n"/>
      <c r="D332" s="7" t="n"/>
      <c r="E332">
        <f>IF(C332="","",IF(C332&lt;=2,"Yes","No"))</f>
        <v/>
      </c>
      <c r="G332" s="7" t="n"/>
    </row>
    <row r="333">
      <c r="A333" s="7" t="n"/>
      <c r="D333" s="7" t="n"/>
      <c r="E333">
        <f>IF(C333="","",IF(C333&lt;=2,"Yes","No"))</f>
        <v/>
      </c>
      <c r="G333" s="7" t="n"/>
    </row>
    <row r="334">
      <c r="A334" s="7" t="n"/>
      <c r="D334" s="7" t="n"/>
      <c r="E334">
        <f>IF(C334="","",IF(C334&lt;=2,"Yes","No"))</f>
        <v/>
      </c>
      <c r="G334" s="7" t="n"/>
    </row>
    <row r="335">
      <c r="A335" s="7" t="n"/>
      <c r="D335" s="7" t="n"/>
      <c r="E335">
        <f>IF(C335="","",IF(C335&lt;=2,"Yes","No"))</f>
        <v/>
      </c>
      <c r="G335" s="7" t="n"/>
    </row>
    <row r="336">
      <c r="A336" s="7" t="n"/>
      <c r="D336" s="7" t="n"/>
      <c r="E336">
        <f>IF(C336="","",IF(C336&lt;=2,"Yes","No"))</f>
        <v/>
      </c>
      <c r="G336" s="7" t="n"/>
    </row>
    <row r="337">
      <c r="A337" s="7" t="n"/>
      <c r="D337" s="7" t="n"/>
      <c r="E337">
        <f>IF(C337="","",IF(C337&lt;=2,"Yes","No"))</f>
        <v/>
      </c>
      <c r="G337" s="7" t="n"/>
    </row>
    <row r="338">
      <c r="A338" s="7" t="n"/>
      <c r="D338" s="7" t="n"/>
      <c r="E338">
        <f>IF(C338="","",IF(C338&lt;=2,"Yes","No"))</f>
        <v/>
      </c>
      <c r="G338" s="7" t="n"/>
    </row>
    <row r="339">
      <c r="A339" s="7" t="n"/>
      <c r="D339" s="7" t="n"/>
      <c r="E339">
        <f>IF(C339="","",IF(C339&lt;=2,"Yes","No"))</f>
        <v/>
      </c>
      <c r="G339" s="7" t="n"/>
    </row>
    <row r="340">
      <c r="A340" s="7" t="n"/>
      <c r="D340" s="7" t="n"/>
      <c r="E340">
        <f>IF(C340="","",IF(C340&lt;=2,"Yes","No"))</f>
        <v/>
      </c>
      <c r="G340" s="7" t="n"/>
    </row>
    <row r="341">
      <c r="A341" s="7" t="n"/>
      <c r="D341" s="7" t="n"/>
      <c r="E341">
        <f>IF(C341="","",IF(C341&lt;=2,"Yes","No"))</f>
        <v/>
      </c>
      <c r="G341" s="7" t="n"/>
    </row>
    <row r="342">
      <c r="A342" s="7" t="n"/>
      <c r="D342" s="7" t="n"/>
      <c r="E342">
        <f>IF(C342="","",IF(C342&lt;=2,"Yes","No"))</f>
        <v/>
      </c>
      <c r="G342" s="7" t="n"/>
    </row>
    <row r="343">
      <c r="A343" s="7" t="n"/>
      <c r="D343" s="7" t="n"/>
      <c r="E343">
        <f>IF(C343="","",IF(C343&lt;=2,"Yes","No"))</f>
        <v/>
      </c>
      <c r="G343" s="7" t="n"/>
    </row>
    <row r="344">
      <c r="A344" s="7" t="n"/>
      <c r="D344" s="7" t="n"/>
      <c r="E344">
        <f>IF(C344="","",IF(C344&lt;=2,"Yes","No"))</f>
        <v/>
      </c>
      <c r="G344" s="7" t="n"/>
    </row>
    <row r="345">
      <c r="A345" s="7" t="n"/>
      <c r="D345" s="7" t="n"/>
      <c r="E345">
        <f>IF(C345="","",IF(C345&lt;=2,"Yes","No"))</f>
        <v/>
      </c>
      <c r="G345" s="7" t="n"/>
    </row>
    <row r="346">
      <c r="A346" s="7" t="n"/>
      <c r="D346" s="7" t="n"/>
      <c r="E346">
        <f>IF(C346="","",IF(C346&lt;=2,"Yes","No"))</f>
        <v/>
      </c>
      <c r="G346" s="7" t="n"/>
    </row>
    <row r="347">
      <c r="A347" s="7" t="n"/>
      <c r="D347" s="7" t="n"/>
      <c r="E347">
        <f>IF(C347="","",IF(C347&lt;=2,"Yes","No"))</f>
        <v/>
      </c>
      <c r="G347" s="7" t="n"/>
    </row>
    <row r="348">
      <c r="A348" s="7" t="n"/>
      <c r="D348" s="7" t="n"/>
      <c r="E348">
        <f>IF(C348="","",IF(C348&lt;=2,"Yes","No"))</f>
        <v/>
      </c>
      <c r="G348" s="7" t="n"/>
    </row>
    <row r="349">
      <c r="A349" s="7" t="n"/>
      <c r="D349" s="7" t="n"/>
      <c r="E349">
        <f>IF(C349="","",IF(C349&lt;=2,"Yes","No"))</f>
        <v/>
      </c>
      <c r="G349" s="7" t="n"/>
    </row>
    <row r="350">
      <c r="A350" s="7" t="n"/>
      <c r="D350" s="7" t="n"/>
      <c r="E350">
        <f>IF(C350="","",IF(C350&lt;=2,"Yes","No"))</f>
        <v/>
      </c>
      <c r="G350" s="7" t="n"/>
    </row>
    <row r="351">
      <c r="A351" s="7" t="n"/>
      <c r="D351" s="7" t="n"/>
      <c r="E351">
        <f>IF(C351="","",IF(C351&lt;=2,"Yes","No"))</f>
        <v/>
      </c>
      <c r="G351" s="7" t="n"/>
    </row>
    <row r="352">
      <c r="A352" s="7" t="n"/>
      <c r="D352" s="7" t="n"/>
      <c r="E352">
        <f>IF(C352="","",IF(C352&lt;=2,"Yes","No"))</f>
        <v/>
      </c>
      <c r="G352" s="7" t="n"/>
    </row>
    <row r="353">
      <c r="A353" s="7" t="n"/>
      <c r="D353" s="7" t="n"/>
      <c r="E353">
        <f>IF(C353="","",IF(C353&lt;=2,"Yes","No"))</f>
        <v/>
      </c>
      <c r="G353" s="7" t="n"/>
    </row>
    <row r="354">
      <c r="A354" s="7" t="n"/>
      <c r="D354" s="7" t="n"/>
      <c r="E354">
        <f>IF(C354="","",IF(C354&lt;=2,"Yes","No"))</f>
        <v/>
      </c>
      <c r="G354" s="7" t="n"/>
    </row>
    <row r="355">
      <c r="A355" s="7" t="n"/>
      <c r="D355" s="7" t="n"/>
      <c r="E355">
        <f>IF(C355="","",IF(C355&lt;=2,"Yes","No"))</f>
        <v/>
      </c>
      <c r="G355" s="7" t="n"/>
    </row>
    <row r="356">
      <c r="A356" s="7" t="n"/>
      <c r="D356" s="7" t="n"/>
      <c r="E356">
        <f>IF(C356="","",IF(C356&lt;=2,"Yes","No"))</f>
        <v/>
      </c>
      <c r="G356" s="7" t="n"/>
    </row>
    <row r="357">
      <c r="A357" s="7" t="n"/>
      <c r="D357" s="7" t="n"/>
      <c r="E357">
        <f>IF(C357="","",IF(C357&lt;=2,"Yes","No"))</f>
        <v/>
      </c>
      <c r="G357" s="7" t="n"/>
    </row>
    <row r="358">
      <c r="A358" s="7" t="n"/>
      <c r="D358" s="7" t="n"/>
      <c r="E358">
        <f>IF(C358="","",IF(C358&lt;=2,"Yes","No"))</f>
        <v/>
      </c>
      <c r="G358" s="7" t="n"/>
    </row>
    <row r="359">
      <c r="A359" s="7" t="n"/>
      <c r="D359" s="7" t="n"/>
      <c r="E359">
        <f>IF(C359="","",IF(C359&lt;=2,"Yes","No"))</f>
        <v/>
      </c>
      <c r="G359" s="7" t="n"/>
    </row>
    <row r="360">
      <c r="A360" s="7" t="n"/>
      <c r="D360" s="7" t="n"/>
      <c r="E360">
        <f>IF(C360="","",IF(C360&lt;=2,"Yes","No"))</f>
        <v/>
      </c>
      <c r="G360" s="7" t="n"/>
    </row>
    <row r="361">
      <c r="A361" s="7" t="n"/>
      <c r="D361" s="7" t="n"/>
      <c r="E361">
        <f>IF(C361="","",IF(C361&lt;=2,"Yes","No"))</f>
        <v/>
      </c>
      <c r="G361" s="7" t="n"/>
    </row>
    <row r="362">
      <c r="A362" s="7" t="n"/>
      <c r="D362" s="7" t="n"/>
      <c r="E362">
        <f>IF(C362="","",IF(C362&lt;=2,"Yes","No"))</f>
        <v/>
      </c>
      <c r="G362" s="7" t="n"/>
    </row>
    <row r="363">
      <c r="A363" s="7" t="n"/>
      <c r="D363" s="7" t="n"/>
      <c r="E363">
        <f>IF(C363="","",IF(C363&lt;=2,"Yes","No"))</f>
        <v/>
      </c>
      <c r="G363" s="7" t="n"/>
    </row>
    <row r="364">
      <c r="A364" s="7" t="n"/>
      <c r="D364" s="7" t="n"/>
      <c r="E364">
        <f>IF(C364="","",IF(C364&lt;=2,"Yes","No"))</f>
        <v/>
      </c>
      <c r="G364" s="7" t="n"/>
    </row>
    <row r="365">
      <c r="A365" s="7" t="n"/>
      <c r="D365" s="7" t="n"/>
      <c r="E365">
        <f>IF(C365="","",IF(C365&lt;=2,"Yes","No"))</f>
        <v/>
      </c>
      <c r="G365" s="7" t="n"/>
    </row>
    <row r="366">
      <c r="A366" s="7" t="n"/>
      <c r="D366" s="7" t="n"/>
      <c r="E366">
        <f>IF(C366="","",IF(C366&lt;=2,"Yes","No"))</f>
        <v/>
      </c>
      <c r="G366" s="7" t="n"/>
    </row>
    <row r="367">
      <c r="A367" s="7" t="n"/>
      <c r="D367" s="7" t="n"/>
      <c r="E367">
        <f>IF(C367="","",IF(C367&lt;=2,"Yes","No"))</f>
        <v/>
      </c>
      <c r="G367" s="7" t="n"/>
    </row>
    <row r="368">
      <c r="A368" s="7" t="n"/>
      <c r="D368" s="7" t="n"/>
      <c r="E368">
        <f>IF(C368="","",IF(C368&lt;=2,"Yes","No"))</f>
        <v/>
      </c>
      <c r="G368" s="7" t="n"/>
    </row>
    <row r="369">
      <c r="A369" s="7" t="n"/>
      <c r="D369" s="7" t="n"/>
      <c r="E369">
        <f>IF(C369="","",IF(C369&lt;=2,"Yes","No"))</f>
        <v/>
      </c>
      <c r="G369" s="7" t="n"/>
    </row>
    <row r="370">
      <c r="A370" s="7" t="n"/>
      <c r="D370" s="7" t="n"/>
      <c r="E370">
        <f>IF(C370="","",IF(C370&lt;=2,"Yes","No"))</f>
        <v/>
      </c>
      <c r="G370" s="7" t="n"/>
    </row>
    <row r="371">
      <c r="A371" s="7" t="n"/>
      <c r="D371" s="7" t="n"/>
      <c r="E371">
        <f>IF(C371="","",IF(C371&lt;=2,"Yes","No"))</f>
        <v/>
      </c>
      <c r="G371" s="7" t="n"/>
    </row>
    <row r="372">
      <c r="A372" s="7" t="n"/>
      <c r="D372" s="7" t="n"/>
      <c r="E372">
        <f>IF(C372="","",IF(C372&lt;=2,"Yes","No"))</f>
        <v/>
      </c>
      <c r="G372" s="7" t="n"/>
    </row>
    <row r="373">
      <c r="A373" s="7" t="n"/>
      <c r="D373" s="7" t="n"/>
      <c r="E373">
        <f>IF(C373="","",IF(C373&lt;=2,"Yes","No"))</f>
        <v/>
      </c>
      <c r="G373" s="7" t="n"/>
    </row>
    <row r="374">
      <c r="A374" s="7" t="n"/>
      <c r="D374" s="7" t="n"/>
      <c r="E374">
        <f>IF(C374="","",IF(C374&lt;=2,"Yes","No"))</f>
        <v/>
      </c>
      <c r="G374" s="7" t="n"/>
    </row>
    <row r="375">
      <c r="A375" s="7" t="n"/>
      <c r="D375" s="7" t="n"/>
      <c r="E375">
        <f>IF(C375="","",IF(C375&lt;=2,"Yes","No"))</f>
        <v/>
      </c>
      <c r="G375" s="7" t="n"/>
    </row>
    <row r="376">
      <c r="A376" s="7" t="n"/>
      <c r="D376" s="7" t="n"/>
      <c r="E376">
        <f>IF(C376="","",IF(C376&lt;=2,"Yes","No"))</f>
        <v/>
      </c>
      <c r="G376" s="7" t="n"/>
    </row>
    <row r="377">
      <c r="A377" s="7" t="n"/>
      <c r="D377" s="7" t="n"/>
      <c r="E377">
        <f>IF(C377="","",IF(C377&lt;=2,"Yes","No"))</f>
        <v/>
      </c>
      <c r="G377" s="7" t="n"/>
    </row>
    <row r="378">
      <c r="A378" s="7" t="n"/>
      <c r="D378" s="7" t="n"/>
      <c r="E378">
        <f>IF(C378="","",IF(C378&lt;=2,"Yes","No"))</f>
        <v/>
      </c>
      <c r="G378" s="7" t="n"/>
    </row>
    <row r="379">
      <c r="A379" s="7" t="n"/>
      <c r="D379" s="7" t="n"/>
      <c r="E379">
        <f>IF(C379="","",IF(C379&lt;=2,"Yes","No"))</f>
        <v/>
      </c>
      <c r="G379" s="7" t="n"/>
    </row>
    <row r="380">
      <c r="A380" s="7" t="n"/>
      <c r="D380" s="7" t="n"/>
      <c r="E380">
        <f>IF(C380="","",IF(C380&lt;=2,"Yes","No"))</f>
        <v/>
      </c>
      <c r="G380" s="7" t="n"/>
    </row>
    <row r="381">
      <c r="A381" s="7" t="n"/>
      <c r="D381" s="7" t="n"/>
      <c r="E381">
        <f>IF(C381="","",IF(C381&lt;=2,"Yes","No"))</f>
        <v/>
      </c>
      <c r="G381" s="7" t="n"/>
    </row>
    <row r="382">
      <c r="A382" s="7" t="n"/>
      <c r="D382" s="7" t="n"/>
      <c r="E382">
        <f>IF(C382="","",IF(C382&lt;=2,"Yes","No"))</f>
        <v/>
      </c>
      <c r="G382" s="7" t="n"/>
    </row>
    <row r="383">
      <c r="A383" s="7" t="n"/>
      <c r="D383" s="7" t="n"/>
      <c r="E383">
        <f>IF(C383="","",IF(C383&lt;=2,"Yes","No"))</f>
        <v/>
      </c>
      <c r="G383" s="7" t="n"/>
    </row>
    <row r="384">
      <c r="A384" s="7" t="n"/>
      <c r="D384" s="7" t="n"/>
      <c r="E384">
        <f>IF(C384="","",IF(C384&lt;=2,"Yes","No"))</f>
        <v/>
      </c>
      <c r="G384" s="7" t="n"/>
    </row>
    <row r="385">
      <c r="A385" s="7" t="n"/>
      <c r="D385" s="7" t="n"/>
      <c r="E385">
        <f>IF(C385="","",IF(C385&lt;=2,"Yes","No"))</f>
        <v/>
      </c>
      <c r="G385" s="7" t="n"/>
    </row>
    <row r="386">
      <c r="A386" s="7" t="n"/>
      <c r="D386" s="7" t="n"/>
      <c r="E386">
        <f>IF(C386="","",IF(C386&lt;=2,"Yes","No"))</f>
        <v/>
      </c>
      <c r="G386" s="7" t="n"/>
    </row>
    <row r="387">
      <c r="A387" s="7" t="n"/>
      <c r="D387" s="7" t="n"/>
      <c r="E387">
        <f>IF(C387="","",IF(C387&lt;=2,"Yes","No"))</f>
        <v/>
      </c>
      <c r="G387" s="7" t="n"/>
    </row>
    <row r="388">
      <c r="A388" s="7" t="n"/>
      <c r="D388" s="7" t="n"/>
      <c r="E388">
        <f>IF(C388="","",IF(C388&lt;=2,"Yes","No"))</f>
        <v/>
      </c>
      <c r="G388" s="7" t="n"/>
    </row>
    <row r="389">
      <c r="A389" s="7" t="n"/>
      <c r="D389" s="7" t="n"/>
      <c r="E389">
        <f>IF(C389="","",IF(C389&lt;=2,"Yes","No"))</f>
        <v/>
      </c>
      <c r="G389" s="7" t="n"/>
    </row>
    <row r="390">
      <c r="A390" s="7" t="n"/>
      <c r="D390" s="7" t="n"/>
      <c r="E390">
        <f>IF(C390="","",IF(C390&lt;=2,"Yes","No"))</f>
        <v/>
      </c>
      <c r="G390" s="7" t="n"/>
    </row>
    <row r="391">
      <c r="A391" s="7" t="n"/>
      <c r="D391" s="7" t="n"/>
      <c r="E391">
        <f>IF(C391="","",IF(C391&lt;=2,"Yes","No"))</f>
        <v/>
      </c>
      <c r="G391" s="7" t="n"/>
    </row>
    <row r="392">
      <c r="A392" s="7" t="n"/>
      <c r="D392" s="7" t="n"/>
      <c r="E392">
        <f>IF(C392="","",IF(C392&lt;=2,"Yes","No"))</f>
        <v/>
      </c>
      <c r="G392" s="7" t="n"/>
    </row>
    <row r="393">
      <c r="A393" s="7" t="n"/>
      <c r="D393" s="7" t="n"/>
      <c r="E393">
        <f>IF(C393="","",IF(C393&lt;=2,"Yes","No"))</f>
        <v/>
      </c>
      <c r="G393" s="7" t="n"/>
    </row>
    <row r="394">
      <c r="A394" s="7" t="n"/>
      <c r="D394" s="7" t="n"/>
      <c r="E394">
        <f>IF(C394="","",IF(C394&lt;=2,"Yes","No"))</f>
        <v/>
      </c>
      <c r="G394" s="7" t="n"/>
    </row>
    <row r="395">
      <c r="A395" s="7" t="n"/>
      <c r="D395" s="7" t="n"/>
      <c r="E395">
        <f>IF(C395="","",IF(C395&lt;=2,"Yes","No"))</f>
        <v/>
      </c>
      <c r="G395" s="7" t="n"/>
    </row>
    <row r="396">
      <c r="A396" s="7" t="n"/>
      <c r="D396" s="7" t="n"/>
      <c r="E396">
        <f>IF(C396="","",IF(C396&lt;=2,"Yes","No"))</f>
        <v/>
      </c>
      <c r="G396" s="7" t="n"/>
    </row>
    <row r="397">
      <c r="A397" s="7" t="n"/>
      <c r="D397" s="7" t="n"/>
      <c r="E397">
        <f>IF(C397="","",IF(C397&lt;=2,"Yes","No"))</f>
        <v/>
      </c>
      <c r="G397" s="7" t="n"/>
    </row>
    <row r="398">
      <c r="A398" s="7" t="n"/>
      <c r="D398" s="7" t="n"/>
      <c r="E398">
        <f>IF(C398="","",IF(C398&lt;=2,"Yes","No"))</f>
        <v/>
      </c>
      <c r="G398" s="7" t="n"/>
    </row>
    <row r="399">
      <c r="A399" s="7" t="n"/>
      <c r="D399" s="7" t="n"/>
      <c r="E399">
        <f>IF(C399="","",IF(C399&lt;=2,"Yes","No"))</f>
        <v/>
      </c>
      <c r="G399" s="7" t="n"/>
    </row>
    <row r="400">
      <c r="A400" s="7" t="n"/>
      <c r="D400" s="7" t="n"/>
      <c r="E400">
        <f>IF(C400="","",IF(C400&lt;=2,"Yes","No"))</f>
        <v/>
      </c>
      <c r="G400" s="7" t="n"/>
    </row>
    <row r="401">
      <c r="A401" s="7" t="n"/>
      <c r="D401" s="7" t="n"/>
      <c r="E401">
        <f>IF(C401="","",IF(C401&lt;=2,"Yes","No"))</f>
        <v/>
      </c>
      <c r="G401" s="7" t="n"/>
    </row>
    <row r="402">
      <c r="A402" s="7" t="n"/>
      <c r="D402" s="7" t="n"/>
      <c r="E402">
        <f>IF(C402="","",IF(C402&lt;=2,"Yes","No"))</f>
        <v/>
      </c>
      <c r="G402" s="7" t="n"/>
    </row>
    <row r="403">
      <c r="A403" s="7" t="n"/>
      <c r="D403" s="7" t="n"/>
      <c r="E403">
        <f>IF(C403="","",IF(C403&lt;=2,"Yes","No"))</f>
        <v/>
      </c>
      <c r="G403" s="7" t="n"/>
    </row>
    <row r="404">
      <c r="A404" s="7" t="n"/>
      <c r="D404" s="7" t="n"/>
      <c r="E404">
        <f>IF(C404="","",IF(C404&lt;=2,"Yes","No"))</f>
        <v/>
      </c>
      <c r="G404" s="7" t="n"/>
    </row>
    <row r="405">
      <c r="A405" s="7" t="n"/>
      <c r="D405" s="7" t="n"/>
      <c r="E405">
        <f>IF(C405="","",IF(C405&lt;=2,"Yes","No"))</f>
        <v/>
      </c>
      <c r="G405" s="7" t="n"/>
    </row>
    <row r="406">
      <c r="A406" s="7" t="n"/>
      <c r="D406" s="7" t="n"/>
      <c r="E406">
        <f>IF(C406="","",IF(C406&lt;=2,"Yes","No"))</f>
        <v/>
      </c>
      <c r="G406" s="7" t="n"/>
    </row>
    <row r="407">
      <c r="A407" s="7" t="n"/>
      <c r="D407" s="7" t="n"/>
      <c r="E407">
        <f>IF(C407="","",IF(C407&lt;=2,"Yes","No"))</f>
        <v/>
      </c>
      <c r="G407" s="7" t="n"/>
    </row>
    <row r="408">
      <c r="A408" s="7" t="n"/>
      <c r="D408" s="7" t="n"/>
      <c r="E408">
        <f>IF(C408="","",IF(C408&lt;=2,"Yes","No"))</f>
        <v/>
      </c>
      <c r="G408" s="7" t="n"/>
    </row>
    <row r="409">
      <c r="A409" s="7" t="n"/>
      <c r="D409" s="7" t="n"/>
      <c r="E409">
        <f>IF(C409="","",IF(C409&lt;=2,"Yes","No"))</f>
        <v/>
      </c>
      <c r="G409" s="7" t="n"/>
    </row>
    <row r="410">
      <c r="A410" s="7" t="n"/>
      <c r="D410" s="7" t="n"/>
      <c r="E410">
        <f>IF(C410="","",IF(C410&lt;=2,"Yes","No"))</f>
        <v/>
      </c>
      <c r="G410" s="7" t="n"/>
    </row>
    <row r="411">
      <c r="A411" s="7" t="n"/>
      <c r="D411" s="7" t="n"/>
      <c r="E411">
        <f>IF(C411="","",IF(C411&lt;=2,"Yes","No"))</f>
        <v/>
      </c>
      <c r="G411" s="7" t="n"/>
    </row>
    <row r="412">
      <c r="A412" s="7" t="n"/>
      <c r="D412" s="7" t="n"/>
      <c r="E412">
        <f>IF(C412="","",IF(C412&lt;=2,"Yes","No"))</f>
        <v/>
      </c>
      <c r="G412" s="7" t="n"/>
    </row>
    <row r="413">
      <c r="A413" s="7" t="n"/>
      <c r="D413" s="7" t="n"/>
      <c r="E413">
        <f>IF(C413="","",IF(C413&lt;=2,"Yes","No"))</f>
        <v/>
      </c>
      <c r="G413" s="7" t="n"/>
    </row>
    <row r="414">
      <c r="A414" s="7" t="n"/>
      <c r="D414" s="7" t="n"/>
      <c r="E414">
        <f>IF(C414="","",IF(C414&lt;=2,"Yes","No"))</f>
        <v/>
      </c>
      <c r="G414" s="7" t="n"/>
    </row>
    <row r="415">
      <c r="A415" s="7" t="n"/>
      <c r="D415" s="7" t="n"/>
      <c r="E415">
        <f>IF(C415="","",IF(C415&lt;=2,"Yes","No"))</f>
        <v/>
      </c>
      <c r="G415" s="7" t="n"/>
    </row>
    <row r="416">
      <c r="A416" s="7" t="n"/>
      <c r="D416" s="7" t="n"/>
      <c r="E416">
        <f>IF(C416="","",IF(C416&lt;=2,"Yes","No"))</f>
        <v/>
      </c>
      <c r="G416" s="7" t="n"/>
    </row>
    <row r="417">
      <c r="A417" s="7" t="n"/>
      <c r="D417" s="7" t="n"/>
      <c r="E417">
        <f>IF(C417="","",IF(C417&lt;=2,"Yes","No"))</f>
        <v/>
      </c>
      <c r="G417" s="7" t="n"/>
    </row>
    <row r="418">
      <c r="A418" s="7" t="n"/>
      <c r="D418" s="7" t="n"/>
      <c r="E418">
        <f>IF(C418="","",IF(C418&lt;=2,"Yes","No"))</f>
        <v/>
      </c>
      <c r="G418" s="7" t="n"/>
    </row>
    <row r="419">
      <c r="A419" s="7" t="n"/>
      <c r="D419" s="7" t="n"/>
      <c r="E419">
        <f>IF(C419="","",IF(C419&lt;=2,"Yes","No"))</f>
        <v/>
      </c>
      <c r="G419" s="7" t="n"/>
    </row>
    <row r="420">
      <c r="A420" s="7" t="n"/>
      <c r="D420" s="7" t="n"/>
      <c r="E420">
        <f>IF(C420="","",IF(C420&lt;=2,"Yes","No"))</f>
        <v/>
      </c>
      <c r="G420" s="7" t="n"/>
    </row>
    <row r="421">
      <c r="A421" s="7" t="n"/>
      <c r="D421" s="7" t="n"/>
      <c r="E421">
        <f>IF(C421="","",IF(C421&lt;=2,"Yes","No"))</f>
        <v/>
      </c>
      <c r="G421" s="7" t="n"/>
    </row>
    <row r="422">
      <c r="A422" s="7" t="n"/>
      <c r="D422" s="7" t="n"/>
      <c r="E422">
        <f>IF(C422="","",IF(C422&lt;=2,"Yes","No"))</f>
        <v/>
      </c>
      <c r="G422" s="7" t="n"/>
    </row>
    <row r="423">
      <c r="A423" s="7" t="n"/>
      <c r="D423" s="7" t="n"/>
      <c r="E423">
        <f>IF(C423="","",IF(C423&lt;=2,"Yes","No"))</f>
        <v/>
      </c>
      <c r="G423" s="7" t="n"/>
    </row>
    <row r="424">
      <c r="A424" s="7" t="n"/>
      <c r="D424" s="7" t="n"/>
      <c r="E424">
        <f>IF(C424="","",IF(C424&lt;=2,"Yes","No"))</f>
        <v/>
      </c>
      <c r="G424" s="7" t="n"/>
    </row>
    <row r="425">
      <c r="A425" s="7" t="n"/>
      <c r="D425" s="7" t="n"/>
      <c r="E425">
        <f>IF(C425="","",IF(C425&lt;=2,"Yes","No"))</f>
        <v/>
      </c>
      <c r="G425" s="7" t="n"/>
    </row>
    <row r="426">
      <c r="A426" s="7" t="n"/>
      <c r="D426" s="7" t="n"/>
      <c r="E426">
        <f>IF(C426="","",IF(C426&lt;=2,"Yes","No"))</f>
        <v/>
      </c>
      <c r="G426" s="7" t="n"/>
    </row>
    <row r="427">
      <c r="A427" s="7" t="n"/>
      <c r="D427" s="7" t="n"/>
      <c r="E427">
        <f>IF(C427="","",IF(C427&lt;=2,"Yes","No"))</f>
        <v/>
      </c>
      <c r="G427" s="7" t="n"/>
    </row>
    <row r="428">
      <c r="A428" s="7" t="n"/>
      <c r="D428" s="7" t="n"/>
      <c r="E428">
        <f>IF(C428="","",IF(C428&lt;=2,"Yes","No"))</f>
        <v/>
      </c>
      <c r="G428" s="7" t="n"/>
    </row>
    <row r="429">
      <c r="A429" s="7" t="n"/>
      <c r="D429" s="7" t="n"/>
      <c r="E429">
        <f>IF(C429="","",IF(C429&lt;=2,"Yes","No"))</f>
        <v/>
      </c>
      <c r="G429" s="7" t="n"/>
    </row>
    <row r="430">
      <c r="A430" s="7" t="n"/>
      <c r="D430" s="7" t="n"/>
      <c r="E430">
        <f>IF(C430="","",IF(C430&lt;=2,"Yes","No"))</f>
        <v/>
      </c>
      <c r="G430" s="7" t="n"/>
    </row>
    <row r="431">
      <c r="A431" s="7" t="n"/>
      <c r="D431" s="7" t="n"/>
      <c r="E431">
        <f>IF(C431="","",IF(C431&lt;=2,"Yes","No"))</f>
        <v/>
      </c>
      <c r="G431" s="7" t="n"/>
    </row>
    <row r="432">
      <c r="A432" s="7" t="n"/>
      <c r="D432" s="7" t="n"/>
      <c r="E432">
        <f>IF(C432="","",IF(C432&lt;=2,"Yes","No"))</f>
        <v/>
      </c>
      <c r="G432" s="7" t="n"/>
    </row>
    <row r="433">
      <c r="A433" s="7" t="n"/>
      <c r="D433" s="7" t="n"/>
      <c r="E433">
        <f>IF(C433="","",IF(C433&lt;=2,"Yes","No"))</f>
        <v/>
      </c>
      <c r="G433" s="7" t="n"/>
    </row>
    <row r="434">
      <c r="A434" s="7" t="n"/>
      <c r="D434" s="7" t="n"/>
      <c r="E434">
        <f>IF(C434="","",IF(C434&lt;=2,"Yes","No"))</f>
        <v/>
      </c>
      <c r="G434" s="7" t="n"/>
    </row>
    <row r="435">
      <c r="A435" s="7" t="n"/>
      <c r="D435" s="7" t="n"/>
      <c r="E435">
        <f>IF(C435="","",IF(C435&lt;=2,"Yes","No"))</f>
        <v/>
      </c>
      <c r="G435" s="7" t="n"/>
    </row>
    <row r="436">
      <c r="A436" s="7" t="n"/>
      <c r="D436" s="7" t="n"/>
      <c r="E436">
        <f>IF(C436="","",IF(C436&lt;=2,"Yes","No"))</f>
        <v/>
      </c>
      <c r="G436" s="7" t="n"/>
    </row>
    <row r="437">
      <c r="A437" s="7" t="n"/>
      <c r="D437" s="7" t="n"/>
      <c r="E437">
        <f>IF(C437="","",IF(C437&lt;=2,"Yes","No"))</f>
        <v/>
      </c>
      <c r="G437" s="7" t="n"/>
    </row>
    <row r="438">
      <c r="A438" s="7" t="n"/>
      <c r="D438" s="7" t="n"/>
      <c r="E438">
        <f>IF(C438="","",IF(C438&lt;=2,"Yes","No"))</f>
        <v/>
      </c>
      <c r="G438" s="7" t="n"/>
    </row>
    <row r="439">
      <c r="A439" s="7" t="n"/>
      <c r="D439" s="7" t="n"/>
      <c r="E439">
        <f>IF(C439="","",IF(C439&lt;=2,"Yes","No"))</f>
        <v/>
      </c>
      <c r="G439" s="7" t="n"/>
    </row>
    <row r="440">
      <c r="A440" s="7" t="n"/>
      <c r="D440" s="7" t="n"/>
      <c r="E440">
        <f>IF(C440="","",IF(C440&lt;=2,"Yes","No"))</f>
        <v/>
      </c>
      <c r="G440" s="7" t="n"/>
    </row>
    <row r="441">
      <c r="A441" s="7" t="n"/>
      <c r="D441" s="7" t="n"/>
      <c r="E441">
        <f>IF(C441="","",IF(C441&lt;=2,"Yes","No"))</f>
        <v/>
      </c>
      <c r="G441" s="7" t="n"/>
    </row>
    <row r="442">
      <c r="A442" s="7" t="n"/>
      <c r="D442" s="7" t="n"/>
      <c r="E442">
        <f>IF(C442="","",IF(C442&lt;=2,"Yes","No"))</f>
        <v/>
      </c>
      <c r="G442" s="7" t="n"/>
    </row>
    <row r="443">
      <c r="A443" s="7" t="n"/>
      <c r="D443" s="7" t="n"/>
      <c r="E443">
        <f>IF(C443="","",IF(C443&lt;=2,"Yes","No"))</f>
        <v/>
      </c>
      <c r="G443" s="7" t="n"/>
    </row>
    <row r="444">
      <c r="A444" s="7" t="n"/>
      <c r="D444" s="7" t="n"/>
      <c r="E444">
        <f>IF(C444="","",IF(C444&lt;=2,"Yes","No"))</f>
        <v/>
      </c>
      <c r="G444" s="7" t="n"/>
    </row>
    <row r="445">
      <c r="A445" s="7" t="n"/>
      <c r="D445" s="7" t="n"/>
      <c r="E445">
        <f>IF(C445="","",IF(C445&lt;=2,"Yes","No"))</f>
        <v/>
      </c>
      <c r="G445" s="7" t="n"/>
    </row>
    <row r="446">
      <c r="A446" s="7" t="n"/>
      <c r="D446" s="7" t="n"/>
      <c r="E446">
        <f>IF(C446="","",IF(C446&lt;=2,"Yes","No"))</f>
        <v/>
      </c>
      <c r="G446" s="7" t="n"/>
    </row>
    <row r="447">
      <c r="A447" s="7" t="n"/>
      <c r="D447" s="7" t="n"/>
      <c r="E447">
        <f>IF(C447="","",IF(C447&lt;=2,"Yes","No"))</f>
        <v/>
      </c>
      <c r="G447" s="7" t="n"/>
    </row>
    <row r="448">
      <c r="A448" s="7" t="n"/>
      <c r="D448" s="7" t="n"/>
      <c r="E448">
        <f>IF(C448="","",IF(C448&lt;=2,"Yes","No"))</f>
        <v/>
      </c>
      <c r="G448" s="7" t="n"/>
    </row>
    <row r="449">
      <c r="A449" s="7" t="n"/>
      <c r="D449" s="7" t="n"/>
      <c r="E449">
        <f>IF(C449="","",IF(C449&lt;=2,"Yes","No"))</f>
        <v/>
      </c>
      <c r="G449" s="7" t="n"/>
    </row>
    <row r="450">
      <c r="A450" s="7" t="n"/>
      <c r="D450" s="7" t="n"/>
      <c r="E450">
        <f>IF(C450="","",IF(C450&lt;=2,"Yes","No"))</f>
        <v/>
      </c>
      <c r="G450" s="7" t="n"/>
    </row>
    <row r="451">
      <c r="A451" s="7" t="n"/>
      <c r="D451" s="7" t="n"/>
      <c r="E451">
        <f>IF(C451="","",IF(C451&lt;=2,"Yes","No"))</f>
        <v/>
      </c>
      <c r="G451" s="7" t="n"/>
    </row>
    <row r="452">
      <c r="A452" s="7" t="n"/>
      <c r="D452" s="7" t="n"/>
      <c r="E452">
        <f>IF(C452="","",IF(C452&lt;=2,"Yes","No"))</f>
        <v/>
      </c>
      <c r="G452" s="7" t="n"/>
    </row>
    <row r="453">
      <c r="A453" s="7" t="n"/>
      <c r="D453" s="7" t="n"/>
      <c r="E453">
        <f>IF(C453="","",IF(C453&lt;=2,"Yes","No"))</f>
        <v/>
      </c>
      <c r="G453" s="7" t="n"/>
    </row>
    <row r="454">
      <c r="A454" s="7" t="n"/>
      <c r="D454" s="7" t="n"/>
      <c r="E454">
        <f>IF(C454="","",IF(C454&lt;=2,"Yes","No"))</f>
        <v/>
      </c>
      <c r="G454" s="7" t="n"/>
    </row>
    <row r="455">
      <c r="A455" s="7" t="n"/>
      <c r="D455" s="7" t="n"/>
      <c r="E455">
        <f>IF(C455="","",IF(C455&lt;=2,"Yes","No"))</f>
        <v/>
      </c>
      <c r="G455" s="7" t="n"/>
    </row>
    <row r="456">
      <c r="A456" s="7" t="n"/>
      <c r="D456" s="7" t="n"/>
      <c r="E456">
        <f>IF(C456="","",IF(C456&lt;=2,"Yes","No"))</f>
        <v/>
      </c>
      <c r="G456" s="7" t="n"/>
    </row>
    <row r="457">
      <c r="A457" s="7" t="n"/>
      <c r="D457" s="7" t="n"/>
      <c r="E457">
        <f>IF(C457="","",IF(C457&lt;=2,"Yes","No"))</f>
        <v/>
      </c>
      <c r="G457" s="7" t="n"/>
    </row>
    <row r="458">
      <c r="A458" s="7" t="n"/>
      <c r="D458" s="7" t="n"/>
      <c r="E458">
        <f>IF(C458="","",IF(C458&lt;=2,"Yes","No"))</f>
        <v/>
      </c>
      <c r="G458" s="7" t="n"/>
    </row>
    <row r="459">
      <c r="A459" s="7" t="n"/>
      <c r="D459" s="7" t="n"/>
      <c r="E459">
        <f>IF(C459="","",IF(C459&lt;=2,"Yes","No"))</f>
        <v/>
      </c>
      <c r="G459" s="7" t="n"/>
    </row>
    <row r="460">
      <c r="A460" s="7" t="n"/>
      <c r="D460" s="7" t="n"/>
      <c r="E460">
        <f>IF(C460="","",IF(C460&lt;=2,"Yes","No"))</f>
        <v/>
      </c>
      <c r="G460" s="7" t="n"/>
    </row>
    <row r="461">
      <c r="A461" s="7" t="n"/>
      <c r="D461" s="7" t="n"/>
      <c r="E461">
        <f>IF(C461="","",IF(C461&lt;=2,"Yes","No"))</f>
        <v/>
      </c>
      <c r="G461" s="7" t="n"/>
    </row>
    <row r="462">
      <c r="A462" s="7" t="n"/>
      <c r="D462" s="7" t="n"/>
      <c r="E462">
        <f>IF(C462="","",IF(C462&lt;=2,"Yes","No"))</f>
        <v/>
      </c>
      <c r="G462" s="7" t="n"/>
    </row>
    <row r="463">
      <c r="A463" s="7" t="n"/>
      <c r="D463" s="7" t="n"/>
      <c r="E463">
        <f>IF(C463="","",IF(C463&lt;=2,"Yes","No"))</f>
        <v/>
      </c>
      <c r="G463" s="7" t="n"/>
    </row>
    <row r="464">
      <c r="A464" s="7" t="n"/>
      <c r="D464" s="7" t="n"/>
      <c r="E464">
        <f>IF(C464="","",IF(C464&lt;=2,"Yes","No"))</f>
        <v/>
      </c>
      <c r="G464" s="7" t="n"/>
    </row>
    <row r="465">
      <c r="A465" s="7" t="n"/>
      <c r="D465" s="7" t="n"/>
      <c r="E465">
        <f>IF(C465="","",IF(C465&lt;=2,"Yes","No"))</f>
        <v/>
      </c>
      <c r="G465" s="7" t="n"/>
    </row>
    <row r="466">
      <c r="A466" s="7" t="n"/>
      <c r="D466" s="7" t="n"/>
      <c r="E466">
        <f>IF(C466="","",IF(C466&lt;=2,"Yes","No"))</f>
        <v/>
      </c>
      <c r="G466" s="7" t="n"/>
    </row>
    <row r="467">
      <c r="A467" s="7" t="n"/>
      <c r="D467" s="7" t="n"/>
      <c r="E467">
        <f>IF(C467="","",IF(C467&lt;=2,"Yes","No"))</f>
        <v/>
      </c>
      <c r="G467" s="7" t="n"/>
    </row>
    <row r="468">
      <c r="A468" s="7" t="n"/>
      <c r="D468" s="7" t="n"/>
      <c r="E468">
        <f>IF(C468="","",IF(C468&lt;=2,"Yes","No"))</f>
        <v/>
      </c>
      <c r="G468" s="7" t="n"/>
    </row>
    <row r="469">
      <c r="A469" s="7" t="n"/>
      <c r="D469" s="7" t="n"/>
      <c r="E469">
        <f>IF(C469="","",IF(C469&lt;=2,"Yes","No"))</f>
        <v/>
      </c>
      <c r="G469" s="7" t="n"/>
    </row>
    <row r="470">
      <c r="A470" s="7" t="n"/>
      <c r="D470" s="7" t="n"/>
      <c r="E470">
        <f>IF(C470="","",IF(C470&lt;=2,"Yes","No"))</f>
        <v/>
      </c>
      <c r="G470" s="7" t="n"/>
    </row>
    <row r="471">
      <c r="A471" s="7" t="n"/>
      <c r="D471" s="7" t="n"/>
      <c r="E471">
        <f>IF(C471="","",IF(C471&lt;=2,"Yes","No"))</f>
        <v/>
      </c>
      <c r="G471" s="7" t="n"/>
    </row>
    <row r="472">
      <c r="A472" s="7" t="n"/>
      <c r="D472" s="7" t="n"/>
      <c r="E472">
        <f>IF(C472="","",IF(C472&lt;=2,"Yes","No"))</f>
        <v/>
      </c>
      <c r="G472" s="7" t="n"/>
    </row>
    <row r="473">
      <c r="A473" s="7" t="n"/>
      <c r="D473" s="7" t="n"/>
      <c r="E473">
        <f>IF(C473="","",IF(C473&lt;=2,"Yes","No"))</f>
        <v/>
      </c>
      <c r="G473" s="7" t="n"/>
    </row>
    <row r="474">
      <c r="A474" s="7" t="n"/>
      <c r="D474" s="7" t="n"/>
      <c r="E474">
        <f>IF(C474="","",IF(C474&lt;=2,"Yes","No"))</f>
        <v/>
      </c>
      <c r="G474" s="7" t="n"/>
    </row>
    <row r="475">
      <c r="A475" s="7" t="n"/>
      <c r="D475" s="7" t="n"/>
      <c r="E475">
        <f>IF(C475="","",IF(C475&lt;=2,"Yes","No"))</f>
        <v/>
      </c>
      <c r="G475" s="7" t="n"/>
    </row>
    <row r="476">
      <c r="A476" s="7" t="n"/>
      <c r="D476" s="7" t="n"/>
      <c r="E476">
        <f>IF(C476="","",IF(C476&lt;=2,"Yes","No"))</f>
        <v/>
      </c>
      <c r="G476" s="7" t="n"/>
    </row>
    <row r="477">
      <c r="A477" s="7" t="n"/>
      <c r="D477" s="7" t="n"/>
      <c r="E477">
        <f>IF(C477="","",IF(C477&lt;=2,"Yes","No"))</f>
        <v/>
      </c>
      <c r="G477" s="7" t="n"/>
    </row>
    <row r="478">
      <c r="A478" s="7" t="n"/>
      <c r="D478" s="7" t="n"/>
      <c r="E478">
        <f>IF(C478="","",IF(C478&lt;=2,"Yes","No"))</f>
        <v/>
      </c>
      <c r="G478" s="7" t="n"/>
    </row>
    <row r="479">
      <c r="A479" s="7" t="n"/>
      <c r="D479" s="7" t="n"/>
      <c r="E479">
        <f>IF(C479="","",IF(C479&lt;=2,"Yes","No"))</f>
        <v/>
      </c>
      <c r="G479" s="7" t="n"/>
    </row>
    <row r="480">
      <c r="A480" s="7" t="n"/>
      <c r="D480" s="7" t="n"/>
      <c r="E480">
        <f>IF(C480="","",IF(C480&lt;=2,"Yes","No"))</f>
        <v/>
      </c>
      <c r="G480" s="7" t="n"/>
    </row>
    <row r="481">
      <c r="A481" s="7" t="n"/>
      <c r="D481" s="7" t="n"/>
      <c r="E481">
        <f>IF(C481="","",IF(C481&lt;=2,"Yes","No"))</f>
        <v/>
      </c>
      <c r="G481" s="7" t="n"/>
    </row>
    <row r="482">
      <c r="A482" s="7" t="n"/>
      <c r="D482" s="7" t="n"/>
      <c r="E482">
        <f>IF(C482="","",IF(C482&lt;=2,"Yes","No"))</f>
        <v/>
      </c>
      <c r="G482" s="7" t="n"/>
    </row>
    <row r="483">
      <c r="A483" s="7" t="n"/>
      <c r="D483" s="7" t="n"/>
      <c r="E483">
        <f>IF(C483="","",IF(C483&lt;=2,"Yes","No"))</f>
        <v/>
      </c>
      <c r="G483" s="7" t="n"/>
    </row>
    <row r="484">
      <c r="A484" s="7" t="n"/>
      <c r="D484" s="7" t="n"/>
      <c r="E484">
        <f>IF(C484="","",IF(C484&lt;=2,"Yes","No"))</f>
        <v/>
      </c>
      <c r="G484" s="7" t="n"/>
    </row>
    <row r="485">
      <c r="A485" s="7" t="n"/>
      <c r="D485" s="7" t="n"/>
      <c r="E485">
        <f>IF(C485="","",IF(C485&lt;=2,"Yes","No"))</f>
        <v/>
      </c>
      <c r="G485" s="7" t="n"/>
    </row>
    <row r="486">
      <c r="A486" s="7" t="n"/>
      <c r="D486" s="7" t="n"/>
      <c r="E486">
        <f>IF(C486="","",IF(C486&lt;=2,"Yes","No"))</f>
        <v/>
      </c>
      <c r="G486" s="7" t="n"/>
    </row>
    <row r="487">
      <c r="A487" s="7" t="n"/>
      <c r="D487" s="7" t="n"/>
      <c r="E487">
        <f>IF(C487="","",IF(C487&lt;=2,"Yes","No"))</f>
        <v/>
      </c>
      <c r="G487" s="7" t="n"/>
    </row>
    <row r="488">
      <c r="A488" s="7" t="n"/>
      <c r="D488" s="7" t="n"/>
      <c r="E488">
        <f>IF(C488="","",IF(C488&lt;=2,"Yes","No"))</f>
        <v/>
      </c>
      <c r="G488" s="7" t="n"/>
    </row>
    <row r="489">
      <c r="A489" s="7" t="n"/>
      <c r="D489" s="7" t="n"/>
      <c r="E489">
        <f>IF(C489="","",IF(C489&lt;=2,"Yes","No"))</f>
        <v/>
      </c>
      <c r="G489" s="7" t="n"/>
    </row>
    <row r="490">
      <c r="A490" s="7" t="n"/>
      <c r="D490" s="7" t="n"/>
      <c r="E490">
        <f>IF(C490="","",IF(C490&lt;=2,"Yes","No"))</f>
        <v/>
      </c>
      <c r="G490" s="7" t="n"/>
    </row>
    <row r="491">
      <c r="A491" s="7" t="n"/>
      <c r="D491" s="7" t="n"/>
      <c r="E491">
        <f>IF(C491="","",IF(C491&lt;=2,"Yes","No"))</f>
        <v/>
      </c>
      <c r="G491" s="7" t="n"/>
    </row>
    <row r="492">
      <c r="A492" s="7" t="n"/>
      <c r="D492" s="7" t="n"/>
      <c r="E492">
        <f>IF(C492="","",IF(C492&lt;=2,"Yes","No"))</f>
        <v/>
      </c>
      <c r="G492" s="7" t="n"/>
    </row>
    <row r="493">
      <c r="A493" s="7" t="n"/>
      <c r="D493" s="7" t="n"/>
      <c r="E493">
        <f>IF(C493="","",IF(C493&lt;=2,"Yes","No"))</f>
        <v/>
      </c>
      <c r="G493" s="7" t="n"/>
    </row>
    <row r="494">
      <c r="A494" s="7" t="n"/>
      <c r="D494" s="7" t="n"/>
      <c r="E494">
        <f>IF(C494="","",IF(C494&lt;=2,"Yes","No"))</f>
        <v/>
      </c>
      <c r="G494" s="7" t="n"/>
    </row>
    <row r="495">
      <c r="A495" s="7" t="n"/>
      <c r="D495" s="7" t="n"/>
      <c r="E495">
        <f>IF(C495="","",IF(C495&lt;=2,"Yes","No"))</f>
        <v/>
      </c>
      <c r="G495" s="7" t="n"/>
    </row>
    <row r="496">
      <c r="A496" s="7" t="n"/>
      <c r="D496" s="7" t="n"/>
      <c r="E496">
        <f>IF(C496="","",IF(C496&lt;=2,"Yes","No"))</f>
        <v/>
      </c>
      <c r="G496" s="7" t="n"/>
    </row>
    <row r="497">
      <c r="A497" s="7" t="n"/>
      <c r="D497" s="7" t="n"/>
      <c r="E497">
        <f>IF(C497="","",IF(C497&lt;=2,"Yes","No"))</f>
        <v/>
      </c>
      <c r="G497" s="7" t="n"/>
    </row>
    <row r="498">
      <c r="A498" s="7" t="n"/>
      <c r="D498" s="7" t="n"/>
      <c r="E498">
        <f>IF(C498="","",IF(C498&lt;=2,"Yes","No"))</f>
        <v/>
      </c>
      <c r="G498" s="7" t="n"/>
    </row>
    <row r="499">
      <c r="A499" s="7" t="n"/>
      <c r="D499" s="7" t="n"/>
      <c r="E499">
        <f>IF(C499="","",IF(C499&lt;=2,"Yes","No"))</f>
        <v/>
      </c>
      <c r="G499" s="7" t="n"/>
    </row>
    <row r="500">
      <c r="A500" s="7" t="n"/>
      <c r="D500" s="7" t="n"/>
      <c r="E500">
        <f>IF(C500="","",IF(C500&lt;=2,"Yes","No"))</f>
        <v/>
      </c>
      <c r="G500" s="7" t="n"/>
    </row>
    <row r="501">
      <c r="A501" s="7" t="n"/>
      <c r="D501" s="7" t="n"/>
      <c r="E501">
        <f>IF(C501="","",IF(C501&lt;=2,"Yes","No"))</f>
        <v/>
      </c>
      <c r="G501" s="7" t="n"/>
    </row>
  </sheetData>
  <conditionalFormatting sqref="A2:A501">
    <cfRule type="expression" priority="1" dxfId="1">
      <formula>AND($A2&lt;&gt;"",$G2="",NETWORKDAYS($A2,TODAY())-1&gt;=2)</formula>
    </cfRule>
  </conditionalFormatting>
  <dataValidations count="1">
    <dataValidation sqref="C2:C5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0" customHeight="1">
      <c r="A1" s="3" t="inlineStr">
        <is>
          <t>Month</t>
        </is>
      </c>
      <c r="B1" s="3" t="inlineStr">
        <is>
          <t>Calls from your Google profile</t>
        </is>
      </c>
      <c r="C1" s="3" t="inlineStr">
        <is>
          <t>Website visits from your Google profile</t>
        </is>
      </c>
      <c r="D1" s="3" t="inlineStr">
        <is>
          <t>Direction requests</t>
        </is>
      </c>
      <c r="E1" s="3" t="inlineStr">
        <is>
          <t>New reviews</t>
        </is>
      </c>
      <c r="F1" s="3" t="inlineStr">
        <is>
          <t>Average rating</t>
        </is>
      </c>
      <c r="G1" s="3" t="inlineStr">
        <is>
          <t>Listings correct</t>
        </is>
      </c>
      <c r="H1" s="3" t="inlineStr">
        <is>
          <t>Listings that matter for your trade</t>
        </is>
      </c>
      <c r="I1" s="3" t="inlineStr">
        <is>
          <t>Website speed on a phone (out of 100)</t>
        </is>
      </c>
      <c r="J1" s="3" t="inlineStr">
        <is>
          <t>Website problems fixed</t>
        </is>
      </c>
      <c r="K1" s="3" t="inlineStr">
        <is>
          <t>Google posts published</t>
        </is>
      </c>
      <c r="L1" s="3" t="inlineStr">
        <is>
          <t>Reviews replied to</t>
        </is>
      </c>
      <c r="M1" s="3" t="inlineStr">
        <is>
          <t>Listings fixed</t>
        </is>
      </c>
    </row>
    <row r="2">
      <c r="A2" s="8" t="n"/>
      <c r="B2" s="9" t="n"/>
      <c r="C2" s="9" t="n"/>
      <c r="D2" s="9" t="n"/>
      <c r="E2" s="9" t="n"/>
      <c r="F2" s="10" t="n"/>
      <c r="G2" s="9" t="n"/>
      <c r="H2" s="9" t="n"/>
      <c r="I2" s="9" t="n"/>
      <c r="J2" s="11">
        <f>IF($A2="","",COUNTIFS('Website check'!$H$2:$H$501,"&gt;="&amp;$A2,'Website check'!$H$2:$H$501,"&lt;"&amp;EDATE($A2,1)))</f>
        <v/>
      </c>
      <c r="K2" s="11">
        <f>IF($A2="","",COUNTIFS(Posts!$G$2:$G$501,"&gt;="&amp;$A2,Posts!$G$2:$G$501,"&lt;"&amp;EDATE($A2,1)))</f>
        <v/>
      </c>
      <c r="L2" s="11">
        <f>IF($A2="","",COUNTIFS(Reviews!$G$2:$G$501,"&gt;="&amp;$A2,Reviews!$G$2:$G$501,"&lt;"&amp;EDATE($A2,1)))</f>
        <v/>
      </c>
      <c r="M2" s="11">
        <f>IF($A2="","",COUNTIFS('Listing check'!$I$2:$I$50,"&gt;="&amp;$A2,'Listing check'!$I$2:$I$50,"&lt;"&amp;EDATE($A2,1)))</f>
        <v/>
      </c>
    </row>
    <row r="3">
      <c r="A3" s="12">
        <f>IF($A2="","",EDATE($A2,1))</f>
        <v/>
      </c>
      <c r="B3" s="9" t="n"/>
      <c r="C3" s="9" t="n"/>
      <c r="D3" s="9" t="n"/>
      <c r="E3" s="9" t="n"/>
      <c r="F3" s="10" t="n"/>
      <c r="G3" s="9" t="n"/>
      <c r="H3" s="9" t="n"/>
      <c r="I3" s="9" t="n"/>
      <c r="J3" s="11">
        <f>IF($A3="","",COUNTIFS('Website check'!$H$2:$H$501,"&gt;="&amp;$A3,'Website check'!$H$2:$H$501,"&lt;"&amp;EDATE($A3,1)))</f>
        <v/>
      </c>
      <c r="K3" s="11">
        <f>IF($A3="","",COUNTIFS(Posts!$G$2:$G$501,"&gt;="&amp;$A3,Posts!$G$2:$G$501,"&lt;"&amp;EDATE($A3,1)))</f>
        <v/>
      </c>
      <c r="L3" s="11">
        <f>IF($A3="","",COUNTIFS(Reviews!$G$2:$G$501,"&gt;="&amp;$A3,Reviews!$G$2:$G$501,"&lt;"&amp;EDATE($A3,1)))</f>
        <v/>
      </c>
      <c r="M3" s="11">
        <f>IF($A3="","",COUNTIFS('Listing check'!$I$2:$I$50,"&gt;="&amp;$A3,'Listing check'!$I$2:$I$50,"&lt;"&amp;EDATE($A3,1)))</f>
        <v/>
      </c>
    </row>
    <row r="4">
      <c r="A4" s="12">
        <f>IF($A3="","",EDATE($A3,1))</f>
        <v/>
      </c>
      <c r="B4" s="9" t="n"/>
      <c r="C4" s="9" t="n"/>
      <c r="D4" s="9" t="n"/>
      <c r="E4" s="9" t="n"/>
      <c r="F4" s="10" t="n"/>
      <c r="G4" s="9" t="n"/>
      <c r="H4" s="9" t="n"/>
      <c r="I4" s="9" t="n"/>
      <c r="J4" s="11">
        <f>IF($A4="","",COUNTIFS('Website check'!$H$2:$H$501,"&gt;="&amp;$A4,'Website check'!$H$2:$H$501,"&lt;"&amp;EDATE($A4,1)))</f>
        <v/>
      </c>
      <c r="K4" s="11">
        <f>IF($A4="","",COUNTIFS(Posts!$G$2:$G$501,"&gt;="&amp;$A4,Posts!$G$2:$G$501,"&lt;"&amp;EDATE($A4,1)))</f>
        <v/>
      </c>
      <c r="L4" s="11">
        <f>IF($A4="","",COUNTIFS(Reviews!$G$2:$G$501,"&gt;="&amp;$A4,Reviews!$G$2:$G$501,"&lt;"&amp;EDATE($A4,1)))</f>
        <v/>
      </c>
      <c r="M4" s="11">
        <f>IF($A4="","",COUNTIFS('Listing check'!$I$2:$I$50,"&gt;="&amp;$A4,'Listing check'!$I$2:$I$50,"&lt;"&amp;EDATE($A4,1)))</f>
        <v/>
      </c>
    </row>
    <row r="5">
      <c r="A5" s="12">
        <f>IF($A4="","",EDATE($A4,1))</f>
        <v/>
      </c>
      <c r="B5" s="9" t="n"/>
      <c r="C5" s="9" t="n"/>
      <c r="D5" s="9" t="n"/>
      <c r="E5" s="9" t="n"/>
      <c r="F5" s="10" t="n"/>
      <c r="G5" s="9" t="n"/>
      <c r="H5" s="9" t="n"/>
      <c r="I5" s="9" t="n"/>
      <c r="J5" s="11">
        <f>IF($A5="","",COUNTIFS('Website check'!$H$2:$H$501,"&gt;="&amp;$A5,'Website check'!$H$2:$H$501,"&lt;"&amp;EDATE($A5,1)))</f>
        <v/>
      </c>
      <c r="K5" s="11">
        <f>IF($A5="","",COUNTIFS(Posts!$G$2:$G$501,"&gt;="&amp;$A5,Posts!$G$2:$G$501,"&lt;"&amp;EDATE($A5,1)))</f>
        <v/>
      </c>
      <c r="L5" s="11">
        <f>IF($A5="","",COUNTIFS(Reviews!$G$2:$G$501,"&gt;="&amp;$A5,Reviews!$G$2:$G$501,"&lt;"&amp;EDATE($A5,1)))</f>
        <v/>
      </c>
      <c r="M5" s="11">
        <f>IF($A5="","",COUNTIFS('Listing check'!$I$2:$I$50,"&gt;="&amp;$A5,'Listing check'!$I$2:$I$50,"&lt;"&amp;EDATE($A5,1)))</f>
        <v/>
      </c>
    </row>
    <row r="6">
      <c r="A6" s="12">
        <f>IF($A5="","",EDATE($A5,1))</f>
        <v/>
      </c>
      <c r="B6" s="9" t="n"/>
      <c r="C6" s="9" t="n"/>
      <c r="D6" s="9" t="n"/>
      <c r="E6" s="9" t="n"/>
      <c r="F6" s="10" t="n"/>
      <c r="G6" s="9" t="n"/>
      <c r="H6" s="9" t="n"/>
      <c r="I6" s="9" t="n"/>
      <c r="J6" s="11">
        <f>IF($A6="","",COUNTIFS('Website check'!$H$2:$H$501,"&gt;="&amp;$A6,'Website check'!$H$2:$H$501,"&lt;"&amp;EDATE($A6,1)))</f>
        <v/>
      </c>
      <c r="K6" s="11">
        <f>IF($A6="","",COUNTIFS(Posts!$G$2:$G$501,"&gt;="&amp;$A6,Posts!$G$2:$G$501,"&lt;"&amp;EDATE($A6,1)))</f>
        <v/>
      </c>
      <c r="L6" s="11">
        <f>IF($A6="","",COUNTIFS(Reviews!$G$2:$G$501,"&gt;="&amp;$A6,Reviews!$G$2:$G$501,"&lt;"&amp;EDATE($A6,1)))</f>
        <v/>
      </c>
      <c r="M6" s="11">
        <f>IF($A6="","",COUNTIFS('Listing check'!$I$2:$I$50,"&gt;="&amp;$A6,'Listing check'!$I$2:$I$50,"&lt;"&amp;EDATE($A6,1)))</f>
        <v/>
      </c>
    </row>
    <row r="7">
      <c r="A7" s="12">
        <f>IF($A6="","",EDATE($A6,1))</f>
        <v/>
      </c>
      <c r="B7" s="9" t="n"/>
      <c r="C7" s="9" t="n"/>
      <c r="D7" s="9" t="n"/>
      <c r="E7" s="9" t="n"/>
      <c r="F7" s="10" t="n"/>
      <c r="G7" s="9" t="n"/>
      <c r="H7" s="9" t="n"/>
      <c r="I7" s="9" t="n"/>
      <c r="J7" s="11">
        <f>IF($A7="","",COUNTIFS('Website check'!$H$2:$H$501,"&gt;="&amp;$A7,'Website check'!$H$2:$H$501,"&lt;"&amp;EDATE($A7,1)))</f>
        <v/>
      </c>
      <c r="K7" s="11">
        <f>IF($A7="","",COUNTIFS(Posts!$G$2:$G$501,"&gt;="&amp;$A7,Posts!$G$2:$G$501,"&lt;"&amp;EDATE($A7,1)))</f>
        <v/>
      </c>
      <c r="L7" s="11">
        <f>IF($A7="","",COUNTIFS(Reviews!$G$2:$G$501,"&gt;="&amp;$A7,Reviews!$G$2:$G$501,"&lt;"&amp;EDATE($A7,1)))</f>
        <v/>
      </c>
      <c r="M7" s="11">
        <f>IF($A7="","",COUNTIFS('Listing check'!$I$2:$I$50,"&gt;="&amp;$A7,'Listing check'!$I$2:$I$50,"&lt;"&amp;EDATE($A7,1)))</f>
        <v/>
      </c>
    </row>
    <row r="8">
      <c r="A8" s="12">
        <f>IF($A7="","",EDATE($A7,1))</f>
        <v/>
      </c>
      <c r="B8" s="9" t="n"/>
      <c r="C8" s="9" t="n"/>
      <c r="D8" s="9" t="n"/>
      <c r="E8" s="9" t="n"/>
      <c r="F8" s="10" t="n"/>
      <c r="G8" s="9" t="n"/>
      <c r="H8" s="9" t="n"/>
      <c r="I8" s="9" t="n"/>
      <c r="J8" s="11">
        <f>IF($A8="","",COUNTIFS('Website check'!$H$2:$H$501,"&gt;="&amp;$A8,'Website check'!$H$2:$H$501,"&lt;"&amp;EDATE($A8,1)))</f>
        <v/>
      </c>
      <c r="K8" s="11">
        <f>IF($A8="","",COUNTIFS(Posts!$G$2:$G$501,"&gt;="&amp;$A8,Posts!$G$2:$G$501,"&lt;"&amp;EDATE($A8,1)))</f>
        <v/>
      </c>
      <c r="L8" s="11">
        <f>IF($A8="","",COUNTIFS(Reviews!$G$2:$G$501,"&gt;="&amp;$A8,Reviews!$G$2:$G$501,"&lt;"&amp;EDATE($A8,1)))</f>
        <v/>
      </c>
      <c r="M8" s="11">
        <f>IF($A8="","",COUNTIFS('Listing check'!$I$2:$I$50,"&gt;="&amp;$A8,'Listing check'!$I$2:$I$50,"&lt;"&amp;EDATE($A8,1)))</f>
        <v/>
      </c>
    </row>
    <row r="9">
      <c r="A9" s="12">
        <f>IF($A8="","",EDATE($A8,1))</f>
        <v/>
      </c>
      <c r="B9" s="9" t="n"/>
      <c r="C9" s="9" t="n"/>
      <c r="D9" s="9" t="n"/>
      <c r="E9" s="9" t="n"/>
      <c r="F9" s="10" t="n"/>
      <c r="G9" s="9" t="n"/>
      <c r="H9" s="9" t="n"/>
      <c r="I9" s="9" t="n"/>
      <c r="J9" s="11">
        <f>IF($A9="","",COUNTIFS('Website check'!$H$2:$H$501,"&gt;="&amp;$A9,'Website check'!$H$2:$H$501,"&lt;"&amp;EDATE($A9,1)))</f>
        <v/>
      </c>
      <c r="K9" s="11">
        <f>IF($A9="","",COUNTIFS(Posts!$G$2:$G$501,"&gt;="&amp;$A9,Posts!$G$2:$G$501,"&lt;"&amp;EDATE($A9,1)))</f>
        <v/>
      </c>
      <c r="L9" s="11">
        <f>IF($A9="","",COUNTIFS(Reviews!$G$2:$G$501,"&gt;="&amp;$A9,Reviews!$G$2:$G$501,"&lt;"&amp;EDATE($A9,1)))</f>
        <v/>
      </c>
      <c r="M9" s="11">
        <f>IF($A9="","",COUNTIFS('Listing check'!$I$2:$I$50,"&gt;="&amp;$A9,'Listing check'!$I$2:$I$50,"&lt;"&amp;EDATE($A9,1)))</f>
        <v/>
      </c>
    </row>
    <row r="10">
      <c r="A10" s="12">
        <f>IF($A9="","",EDATE($A9,1))</f>
        <v/>
      </c>
      <c r="B10" s="9" t="n"/>
      <c r="C10" s="9" t="n"/>
      <c r="D10" s="9" t="n"/>
      <c r="E10" s="9" t="n"/>
      <c r="F10" s="10" t="n"/>
      <c r="G10" s="9" t="n"/>
      <c r="H10" s="9" t="n"/>
      <c r="I10" s="9" t="n"/>
      <c r="J10" s="11">
        <f>IF($A10="","",COUNTIFS('Website check'!$H$2:$H$501,"&gt;="&amp;$A10,'Website check'!$H$2:$H$501,"&lt;"&amp;EDATE($A10,1)))</f>
        <v/>
      </c>
      <c r="K10" s="11">
        <f>IF($A10="","",COUNTIFS(Posts!$G$2:$G$501,"&gt;="&amp;$A10,Posts!$G$2:$G$501,"&lt;"&amp;EDATE($A10,1)))</f>
        <v/>
      </c>
      <c r="L10" s="11">
        <f>IF($A10="","",COUNTIFS(Reviews!$G$2:$G$501,"&gt;="&amp;$A10,Reviews!$G$2:$G$501,"&lt;"&amp;EDATE($A10,1)))</f>
        <v/>
      </c>
      <c r="M10" s="11">
        <f>IF($A10="","",COUNTIFS('Listing check'!$I$2:$I$50,"&gt;="&amp;$A10,'Listing check'!$I$2:$I$50,"&lt;"&amp;EDATE($A10,1)))</f>
        <v/>
      </c>
    </row>
    <row r="11">
      <c r="A11" s="12">
        <f>IF($A10="","",EDATE($A10,1))</f>
        <v/>
      </c>
      <c r="B11" s="9" t="n"/>
      <c r="C11" s="9" t="n"/>
      <c r="D11" s="9" t="n"/>
      <c r="E11" s="9" t="n"/>
      <c r="F11" s="10" t="n"/>
      <c r="G11" s="9" t="n"/>
      <c r="H11" s="9" t="n"/>
      <c r="I11" s="9" t="n"/>
      <c r="J11" s="11">
        <f>IF($A11="","",COUNTIFS('Website check'!$H$2:$H$501,"&gt;="&amp;$A11,'Website check'!$H$2:$H$501,"&lt;"&amp;EDATE($A11,1)))</f>
        <v/>
      </c>
      <c r="K11" s="11">
        <f>IF($A11="","",COUNTIFS(Posts!$G$2:$G$501,"&gt;="&amp;$A11,Posts!$G$2:$G$501,"&lt;"&amp;EDATE($A11,1)))</f>
        <v/>
      </c>
      <c r="L11" s="11">
        <f>IF($A11="","",COUNTIFS(Reviews!$G$2:$G$501,"&gt;="&amp;$A11,Reviews!$G$2:$G$501,"&lt;"&amp;EDATE($A11,1)))</f>
        <v/>
      </c>
      <c r="M11" s="11">
        <f>IF($A11="","",COUNTIFS('Listing check'!$I$2:$I$50,"&gt;="&amp;$A11,'Listing check'!$I$2:$I$50,"&lt;"&amp;EDATE($A11,1)))</f>
        <v/>
      </c>
    </row>
    <row r="12">
      <c r="A12" s="12">
        <f>IF($A11="","",EDATE($A11,1))</f>
        <v/>
      </c>
      <c r="B12" s="9" t="n"/>
      <c r="C12" s="9" t="n"/>
      <c r="D12" s="9" t="n"/>
      <c r="E12" s="9" t="n"/>
      <c r="F12" s="10" t="n"/>
      <c r="G12" s="9" t="n"/>
      <c r="H12" s="9" t="n"/>
      <c r="I12" s="9" t="n"/>
      <c r="J12" s="11">
        <f>IF($A12="","",COUNTIFS('Website check'!$H$2:$H$501,"&gt;="&amp;$A12,'Website check'!$H$2:$H$501,"&lt;"&amp;EDATE($A12,1)))</f>
        <v/>
      </c>
      <c r="K12" s="11">
        <f>IF($A12="","",COUNTIFS(Posts!$G$2:$G$501,"&gt;="&amp;$A12,Posts!$G$2:$G$501,"&lt;"&amp;EDATE($A12,1)))</f>
        <v/>
      </c>
      <c r="L12" s="11">
        <f>IF($A12="","",COUNTIFS(Reviews!$G$2:$G$501,"&gt;="&amp;$A12,Reviews!$G$2:$G$501,"&lt;"&amp;EDATE($A12,1)))</f>
        <v/>
      </c>
      <c r="M12" s="11">
        <f>IF($A12="","",COUNTIFS('Listing check'!$I$2:$I$50,"&gt;="&amp;$A12,'Listing check'!$I$2:$I$50,"&lt;"&amp;EDATE($A12,1)))</f>
        <v/>
      </c>
    </row>
    <row r="13">
      <c r="A13" s="12">
        <f>IF($A12="","",EDATE($A12,1))</f>
        <v/>
      </c>
      <c r="B13" s="9" t="n"/>
      <c r="C13" s="9" t="n"/>
      <c r="D13" s="9" t="n"/>
      <c r="E13" s="9" t="n"/>
      <c r="F13" s="10" t="n"/>
      <c r="G13" s="9" t="n"/>
      <c r="H13" s="9" t="n"/>
      <c r="I13" s="9" t="n"/>
      <c r="J13" s="11">
        <f>IF($A13="","",COUNTIFS('Website check'!$H$2:$H$501,"&gt;="&amp;$A13,'Website check'!$H$2:$H$501,"&lt;"&amp;EDATE($A13,1)))</f>
        <v/>
      </c>
      <c r="K13" s="11">
        <f>IF($A13="","",COUNTIFS(Posts!$G$2:$G$501,"&gt;="&amp;$A13,Posts!$G$2:$G$501,"&lt;"&amp;EDATE($A13,1)))</f>
        <v/>
      </c>
      <c r="L13" s="11">
        <f>IF($A13="","",COUNTIFS(Reviews!$G$2:$G$501,"&gt;="&amp;$A13,Reviews!$G$2:$G$501,"&lt;"&amp;EDATE($A13,1)))</f>
        <v/>
      </c>
      <c r="M13" s="11">
        <f>IF($A13="","",COUNTIFS('Listing check'!$I$2:$I$50,"&gt;="&amp;$A13,'Listing check'!$I$2:$I$50,"&lt;"&amp;EDATE($A13,1)))</f>
        <v/>
      </c>
    </row>
    <row r="14">
      <c r="A14" s="12">
        <f>IF($A13="","",EDATE($A13,1))</f>
        <v/>
      </c>
      <c r="B14" s="9" t="n"/>
      <c r="C14" s="9" t="n"/>
      <c r="D14" s="9" t="n"/>
      <c r="E14" s="9" t="n"/>
      <c r="F14" s="10" t="n"/>
      <c r="G14" s="9" t="n"/>
      <c r="H14" s="9" t="n"/>
      <c r="I14" s="9" t="n"/>
      <c r="J14" s="11">
        <f>IF($A14="","",COUNTIFS('Website check'!$H$2:$H$501,"&gt;="&amp;$A14,'Website check'!$H$2:$H$501,"&lt;"&amp;EDATE($A14,1)))</f>
        <v/>
      </c>
      <c r="K14" s="11">
        <f>IF($A14="","",COUNTIFS(Posts!$G$2:$G$501,"&gt;="&amp;$A14,Posts!$G$2:$G$501,"&lt;"&amp;EDATE($A14,1)))</f>
        <v/>
      </c>
      <c r="L14" s="11">
        <f>IF($A14="","",COUNTIFS(Reviews!$G$2:$G$501,"&gt;="&amp;$A14,Reviews!$G$2:$G$501,"&lt;"&amp;EDATE($A14,1)))</f>
        <v/>
      </c>
      <c r="M14" s="11">
        <f>IF($A14="","",COUNTIFS('Listing check'!$I$2:$I$50,"&gt;="&amp;$A14,'Listing check'!$I$2:$I$50,"&lt;"&amp;EDATE($A14,1)))</f>
        <v/>
      </c>
    </row>
    <row r="15">
      <c r="A15" s="12">
        <f>IF($A14="","",EDATE($A14,1))</f>
        <v/>
      </c>
      <c r="B15" s="9" t="n"/>
      <c r="C15" s="9" t="n"/>
      <c r="D15" s="9" t="n"/>
      <c r="E15" s="9" t="n"/>
      <c r="F15" s="10" t="n"/>
      <c r="G15" s="9" t="n"/>
      <c r="H15" s="9" t="n"/>
      <c r="I15" s="9" t="n"/>
      <c r="J15" s="11">
        <f>IF($A15="","",COUNTIFS('Website check'!$H$2:$H$501,"&gt;="&amp;$A15,'Website check'!$H$2:$H$501,"&lt;"&amp;EDATE($A15,1)))</f>
        <v/>
      </c>
      <c r="K15" s="11">
        <f>IF($A15="","",COUNTIFS(Posts!$G$2:$G$501,"&gt;="&amp;$A15,Posts!$G$2:$G$501,"&lt;"&amp;EDATE($A15,1)))</f>
        <v/>
      </c>
      <c r="L15" s="11">
        <f>IF($A15="","",COUNTIFS(Reviews!$G$2:$G$501,"&gt;="&amp;$A15,Reviews!$G$2:$G$501,"&lt;"&amp;EDATE($A15,1)))</f>
        <v/>
      </c>
      <c r="M15" s="11">
        <f>IF($A15="","",COUNTIFS('Listing check'!$I$2:$I$50,"&gt;="&amp;$A15,'Listing check'!$I$2:$I$50,"&lt;"&amp;EDATE($A15,1)))</f>
        <v/>
      </c>
    </row>
    <row r="16">
      <c r="A16" s="12">
        <f>IF($A15="","",EDATE($A15,1))</f>
        <v/>
      </c>
      <c r="B16" s="9" t="n"/>
      <c r="C16" s="9" t="n"/>
      <c r="D16" s="9" t="n"/>
      <c r="E16" s="9" t="n"/>
      <c r="F16" s="10" t="n"/>
      <c r="G16" s="9" t="n"/>
      <c r="H16" s="9" t="n"/>
      <c r="I16" s="9" t="n"/>
      <c r="J16" s="11">
        <f>IF($A16="","",COUNTIFS('Website check'!$H$2:$H$501,"&gt;="&amp;$A16,'Website check'!$H$2:$H$501,"&lt;"&amp;EDATE($A16,1)))</f>
        <v/>
      </c>
      <c r="K16" s="11">
        <f>IF($A16="","",COUNTIFS(Posts!$G$2:$G$501,"&gt;="&amp;$A16,Posts!$G$2:$G$501,"&lt;"&amp;EDATE($A16,1)))</f>
        <v/>
      </c>
      <c r="L16" s="11">
        <f>IF($A16="","",COUNTIFS(Reviews!$G$2:$G$501,"&gt;="&amp;$A16,Reviews!$G$2:$G$501,"&lt;"&amp;EDATE($A16,1)))</f>
        <v/>
      </c>
      <c r="M16" s="11">
        <f>IF($A16="","",COUNTIFS('Listing check'!$I$2:$I$50,"&gt;="&amp;$A16,'Listing check'!$I$2:$I$50,"&lt;"&amp;EDATE($A16,1)))</f>
        <v/>
      </c>
    </row>
    <row r="17">
      <c r="A17" s="12">
        <f>IF($A16="","",EDATE($A16,1))</f>
        <v/>
      </c>
      <c r="B17" s="9" t="n"/>
      <c r="C17" s="9" t="n"/>
      <c r="D17" s="9" t="n"/>
      <c r="E17" s="9" t="n"/>
      <c r="F17" s="10" t="n"/>
      <c r="G17" s="9" t="n"/>
      <c r="H17" s="9" t="n"/>
      <c r="I17" s="9" t="n"/>
      <c r="J17" s="11">
        <f>IF($A17="","",COUNTIFS('Website check'!$H$2:$H$501,"&gt;="&amp;$A17,'Website check'!$H$2:$H$501,"&lt;"&amp;EDATE($A17,1)))</f>
        <v/>
      </c>
      <c r="K17" s="11">
        <f>IF($A17="","",COUNTIFS(Posts!$G$2:$G$501,"&gt;="&amp;$A17,Posts!$G$2:$G$501,"&lt;"&amp;EDATE($A17,1)))</f>
        <v/>
      </c>
      <c r="L17" s="11">
        <f>IF($A17="","",COUNTIFS(Reviews!$G$2:$G$501,"&gt;="&amp;$A17,Reviews!$G$2:$G$501,"&lt;"&amp;EDATE($A17,1)))</f>
        <v/>
      </c>
      <c r="M17" s="11">
        <f>IF($A17="","",COUNTIFS('Listing check'!$I$2:$I$50,"&gt;="&amp;$A17,'Listing check'!$I$2:$I$50,"&lt;"&amp;EDATE($A17,1)))</f>
        <v/>
      </c>
    </row>
    <row r="18">
      <c r="A18" s="12">
        <f>IF($A17="","",EDATE($A17,1))</f>
        <v/>
      </c>
      <c r="B18" s="9" t="n"/>
      <c r="C18" s="9" t="n"/>
      <c r="D18" s="9" t="n"/>
      <c r="E18" s="9" t="n"/>
      <c r="F18" s="10" t="n"/>
      <c r="G18" s="9" t="n"/>
      <c r="H18" s="9" t="n"/>
      <c r="I18" s="9" t="n"/>
      <c r="J18" s="11">
        <f>IF($A18="","",COUNTIFS('Website check'!$H$2:$H$501,"&gt;="&amp;$A18,'Website check'!$H$2:$H$501,"&lt;"&amp;EDATE($A18,1)))</f>
        <v/>
      </c>
      <c r="K18" s="11">
        <f>IF($A18="","",COUNTIFS(Posts!$G$2:$G$501,"&gt;="&amp;$A18,Posts!$G$2:$G$501,"&lt;"&amp;EDATE($A18,1)))</f>
        <v/>
      </c>
      <c r="L18" s="11">
        <f>IF($A18="","",COUNTIFS(Reviews!$G$2:$G$501,"&gt;="&amp;$A18,Reviews!$G$2:$G$501,"&lt;"&amp;EDATE($A18,1)))</f>
        <v/>
      </c>
      <c r="M18" s="11">
        <f>IF($A18="","",COUNTIFS('Listing check'!$I$2:$I$50,"&gt;="&amp;$A18,'Listing check'!$I$2:$I$50,"&lt;"&amp;EDATE($A18,1)))</f>
        <v/>
      </c>
    </row>
    <row r="19">
      <c r="A19" s="12">
        <f>IF($A18="","",EDATE($A18,1))</f>
        <v/>
      </c>
      <c r="B19" s="9" t="n"/>
      <c r="C19" s="9" t="n"/>
      <c r="D19" s="9" t="n"/>
      <c r="E19" s="9" t="n"/>
      <c r="F19" s="10" t="n"/>
      <c r="G19" s="9" t="n"/>
      <c r="H19" s="9" t="n"/>
      <c r="I19" s="9" t="n"/>
      <c r="J19" s="11">
        <f>IF($A19="","",COUNTIFS('Website check'!$H$2:$H$501,"&gt;="&amp;$A19,'Website check'!$H$2:$H$501,"&lt;"&amp;EDATE($A19,1)))</f>
        <v/>
      </c>
      <c r="K19" s="11">
        <f>IF($A19="","",COUNTIFS(Posts!$G$2:$G$501,"&gt;="&amp;$A19,Posts!$G$2:$G$501,"&lt;"&amp;EDATE($A19,1)))</f>
        <v/>
      </c>
      <c r="L19" s="11">
        <f>IF($A19="","",COUNTIFS(Reviews!$G$2:$G$501,"&gt;="&amp;$A19,Reviews!$G$2:$G$501,"&lt;"&amp;EDATE($A19,1)))</f>
        <v/>
      </c>
      <c r="M19" s="11">
        <f>IF($A19="","",COUNTIFS('Listing check'!$I$2:$I$50,"&gt;="&amp;$A19,'Listing check'!$I$2:$I$50,"&lt;"&amp;EDATE($A19,1)))</f>
        <v/>
      </c>
    </row>
    <row r="20">
      <c r="A20" s="12">
        <f>IF($A19="","",EDATE($A19,1))</f>
        <v/>
      </c>
      <c r="B20" s="9" t="n"/>
      <c r="C20" s="9" t="n"/>
      <c r="D20" s="9" t="n"/>
      <c r="E20" s="9" t="n"/>
      <c r="F20" s="10" t="n"/>
      <c r="G20" s="9" t="n"/>
      <c r="H20" s="9" t="n"/>
      <c r="I20" s="9" t="n"/>
      <c r="J20" s="11">
        <f>IF($A20="","",COUNTIFS('Website check'!$H$2:$H$501,"&gt;="&amp;$A20,'Website check'!$H$2:$H$501,"&lt;"&amp;EDATE($A20,1)))</f>
        <v/>
      </c>
      <c r="K20" s="11">
        <f>IF($A20="","",COUNTIFS(Posts!$G$2:$G$501,"&gt;="&amp;$A20,Posts!$G$2:$G$501,"&lt;"&amp;EDATE($A20,1)))</f>
        <v/>
      </c>
      <c r="L20" s="11">
        <f>IF($A20="","",COUNTIFS(Reviews!$G$2:$G$501,"&gt;="&amp;$A20,Reviews!$G$2:$G$501,"&lt;"&amp;EDATE($A20,1)))</f>
        <v/>
      </c>
      <c r="M20" s="11">
        <f>IF($A20="","",COUNTIFS('Listing check'!$I$2:$I$50,"&gt;="&amp;$A20,'Listing check'!$I$2:$I$50,"&lt;"&amp;EDATE($A20,1)))</f>
        <v/>
      </c>
    </row>
    <row r="21">
      <c r="A21" s="12">
        <f>IF($A20="","",EDATE($A20,1))</f>
        <v/>
      </c>
      <c r="B21" s="9" t="n"/>
      <c r="C21" s="9" t="n"/>
      <c r="D21" s="9" t="n"/>
      <c r="E21" s="9" t="n"/>
      <c r="F21" s="10" t="n"/>
      <c r="G21" s="9" t="n"/>
      <c r="H21" s="9" t="n"/>
      <c r="I21" s="9" t="n"/>
      <c r="J21" s="11">
        <f>IF($A21="","",COUNTIFS('Website check'!$H$2:$H$501,"&gt;="&amp;$A21,'Website check'!$H$2:$H$501,"&lt;"&amp;EDATE($A21,1)))</f>
        <v/>
      </c>
      <c r="K21" s="11">
        <f>IF($A21="","",COUNTIFS(Posts!$G$2:$G$501,"&gt;="&amp;$A21,Posts!$G$2:$G$501,"&lt;"&amp;EDATE($A21,1)))</f>
        <v/>
      </c>
      <c r="L21" s="11">
        <f>IF($A21="","",COUNTIFS(Reviews!$G$2:$G$501,"&gt;="&amp;$A21,Reviews!$G$2:$G$501,"&lt;"&amp;EDATE($A21,1)))</f>
        <v/>
      </c>
      <c r="M21" s="11">
        <f>IF($A21="","",COUNTIFS('Listing check'!$I$2:$I$50,"&gt;="&amp;$A21,'Listing check'!$I$2:$I$50,"&lt;"&amp;EDATE($A21,1)))</f>
        <v/>
      </c>
    </row>
    <row r="22">
      <c r="A22" s="12">
        <f>IF($A21="","",EDATE($A21,1))</f>
        <v/>
      </c>
      <c r="B22" s="9" t="n"/>
      <c r="C22" s="9" t="n"/>
      <c r="D22" s="9" t="n"/>
      <c r="E22" s="9" t="n"/>
      <c r="F22" s="10" t="n"/>
      <c r="G22" s="9" t="n"/>
      <c r="H22" s="9" t="n"/>
      <c r="I22" s="9" t="n"/>
      <c r="J22" s="11">
        <f>IF($A22="","",COUNTIFS('Website check'!$H$2:$H$501,"&gt;="&amp;$A22,'Website check'!$H$2:$H$501,"&lt;"&amp;EDATE($A22,1)))</f>
        <v/>
      </c>
      <c r="K22" s="11">
        <f>IF($A22="","",COUNTIFS(Posts!$G$2:$G$501,"&gt;="&amp;$A22,Posts!$G$2:$G$501,"&lt;"&amp;EDATE($A22,1)))</f>
        <v/>
      </c>
      <c r="L22" s="11">
        <f>IF($A22="","",COUNTIFS(Reviews!$G$2:$G$501,"&gt;="&amp;$A22,Reviews!$G$2:$G$501,"&lt;"&amp;EDATE($A22,1)))</f>
        <v/>
      </c>
      <c r="M22" s="11">
        <f>IF($A22="","",COUNTIFS('Listing check'!$I$2:$I$50,"&gt;="&amp;$A22,'Listing check'!$I$2:$I$50,"&lt;"&amp;EDATE($A22,1)))</f>
        <v/>
      </c>
    </row>
    <row r="23">
      <c r="A23" s="12">
        <f>IF($A22="","",EDATE($A22,1))</f>
        <v/>
      </c>
      <c r="B23" s="9" t="n"/>
      <c r="C23" s="9" t="n"/>
      <c r="D23" s="9" t="n"/>
      <c r="E23" s="9" t="n"/>
      <c r="F23" s="10" t="n"/>
      <c r="G23" s="9" t="n"/>
      <c r="H23" s="9" t="n"/>
      <c r="I23" s="9" t="n"/>
      <c r="J23" s="11">
        <f>IF($A23="","",COUNTIFS('Website check'!$H$2:$H$501,"&gt;="&amp;$A23,'Website check'!$H$2:$H$501,"&lt;"&amp;EDATE($A23,1)))</f>
        <v/>
      </c>
      <c r="K23" s="11">
        <f>IF($A23="","",COUNTIFS(Posts!$G$2:$G$501,"&gt;="&amp;$A23,Posts!$G$2:$G$501,"&lt;"&amp;EDATE($A23,1)))</f>
        <v/>
      </c>
      <c r="L23" s="11">
        <f>IF($A23="","",COUNTIFS(Reviews!$G$2:$G$501,"&gt;="&amp;$A23,Reviews!$G$2:$G$501,"&lt;"&amp;EDATE($A23,1)))</f>
        <v/>
      </c>
      <c r="M23" s="11">
        <f>IF($A23="","",COUNTIFS('Listing check'!$I$2:$I$50,"&gt;="&amp;$A23,'Listing check'!$I$2:$I$50,"&lt;"&amp;EDATE($A23,1)))</f>
        <v/>
      </c>
    </row>
    <row r="24">
      <c r="A24" s="12">
        <f>IF($A23="","",EDATE($A23,1))</f>
        <v/>
      </c>
      <c r="B24" s="9" t="n"/>
      <c r="C24" s="9" t="n"/>
      <c r="D24" s="9" t="n"/>
      <c r="E24" s="9" t="n"/>
      <c r="F24" s="10" t="n"/>
      <c r="G24" s="9" t="n"/>
      <c r="H24" s="9" t="n"/>
      <c r="I24" s="9" t="n"/>
      <c r="J24" s="11">
        <f>IF($A24="","",COUNTIFS('Website check'!$H$2:$H$501,"&gt;="&amp;$A24,'Website check'!$H$2:$H$501,"&lt;"&amp;EDATE($A24,1)))</f>
        <v/>
      </c>
      <c r="K24" s="11">
        <f>IF($A24="","",COUNTIFS(Posts!$G$2:$G$501,"&gt;="&amp;$A24,Posts!$G$2:$G$501,"&lt;"&amp;EDATE($A24,1)))</f>
        <v/>
      </c>
      <c r="L24" s="11">
        <f>IF($A24="","",COUNTIFS(Reviews!$G$2:$G$501,"&gt;="&amp;$A24,Reviews!$G$2:$G$501,"&lt;"&amp;EDATE($A24,1)))</f>
        <v/>
      </c>
      <c r="M24" s="11">
        <f>IF($A24="","",COUNTIFS('Listing check'!$I$2:$I$50,"&gt;="&amp;$A24,'Listing check'!$I$2:$I$50,"&lt;"&amp;EDATE($A24,1)))</f>
        <v/>
      </c>
    </row>
    <row r="25">
      <c r="A25" s="12">
        <f>IF($A24="","",EDATE($A24,1))</f>
        <v/>
      </c>
      <c r="B25" s="9" t="n"/>
      <c r="C25" s="9" t="n"/>
      <c r="D25" s="9" t="n"/>
      <c r="E25" s="9" t="n"/>
      <c r="F25" s="10" t="n"/>
      <c r="G25" s="9" t="n"/>
      <c r="H25" s="9" t="n"/>
      <c r="I25" s="9" t="n"/>
      <c r="J25" s="11">
        <f>IF($A25="","",COUNTIFS('Website check'!$H$2:$H$501,"&gt;="&amp;$A25,'Website check'!$H$2:$H$501,"&lt;"&amp;EDATE($A25,1)))</f>
        <v/>
      </c>
      <c r="K25" s="11">
        <f>IF($A25="","",COUNTIFS(Posts!$G$2:$G$501,"&gt;="&amp;$A25,Posts!$G$2:$G$501,"&lt;"&amp;EDATE($A25,1)))</f>
        <v/>
      </c>
      <c r="L25" s="11">
        <f>IF($A25="","",COUNTIFS(Reviews!$G$2:$G$501,"&gt;="&amp;$A25,Reviews!$G$2:$G$501,"&lt;"&amp;EDATE($A25,1)))</f>
        <v/>
      </c>
      <c r="M25" s="11">
        <f>IF($A25="","",COUNTIFS('Listing check'!$I$2:$I$50,"&gt;="&amp;$A25,'Listing check'!$I$2:$I$50,"&lt;"&amp;EDATE($A25,1)))</f>
        <v/>
      </c>
    </row>
    <row r="26">
      <c r="A26" s="12">
        <f>IF($A25="","",EDATE($A25,1))</f>
        <v/>
      </c>
      <c r="B26" s="9" t="n"/>
      <c r="C26" s="9" t="n"/>
      <c r="D26" s="9" t="n"/>
      <c r="E26" s="9" t="n"/>
      <c r="F26" s="10" t="n"/>
      <c r="G26" s="9" t="n"/>
      <c r="H26" s="9" t="n"/>
      <c r="I26" s="9" t="n"/>
      <c r="J26" s="11">
        <f>IF($A26="","",COUNTIFS('Website check'!$H$2:$H$501,"&gt;="&amp;$A26,'Website check'!$H$2:$H$501,"&lt;"&amp;EDATE($A26,1)))</f>
        <v/>
      </c>
      <c r="K26" s="11">
        <f>IF($A26="","",COUNTIFS(Posts!$G$2:$G$501,"&gt;="&amp;$A26,Posts!$G$2:$G$501,"&lt;"&amp;EDATE($A26,1)))</f>
        <v/>
      </c>
      <c r="L26" s="11">
        <f>IF($A26="","",COUNTIFS(Reviews!$G$2:$G$501,"&gt;="&amp;$A26,Reviews!$G$2:$G$501,"&lt;"&amp;EDATE($A26,1)))</f>
        <v/>
      </c>
      <c r="M26" s="11">
        <f>IF($A26="","",COUNTIFS('Listing check'!$I$2:$I$50,"&gt;="&amp;$A26,'Listing check'!$I$2:$I$50,"&lt;"&amp;EDATE($A26,1)))</f>
        <v/>
      </c>
    </row>
    <row r="27">
      <c r="A27" s="12">
        <f>IF($A26="","",EDATE($A26,1))</f>
        <v/>
      </c>
      <c r="B27" s="9" t="n"/>
      <c r="C27" s="9" t="n"/>
      <c r="D27" s="9" t="n"/>
      <c r="E27" s="9" t="n"/>
      <c r="F27" s="10" t="n"/>
      <c r="G27" s="9" t="n"/>
      <c r="H27" s="9" t="n"/>
      <c r="I27" s="9" t="n"/>
      <c r="J27" s="11">
        <f>IF($A27="","",COUNTIFS('Website check'!$H$2:$H$501,"&gt;="&amp;$A27,'Website check'!$H$2:$H$501,"&lt;"&amp;EDATE($A27,1)))</f>
        <v/>
      </c>
      <c r="K27" s="11">
        <f>IF($A27="","",COUNTIFS(Posts!$G$2:$G$501,"&gt;="&amp;$A27,Posts!$G$2:$G$501,"&lt;"&amp;EDATE($A27,1)))</f>
        <v/>
      </c>
      <c r="L27" s="11">
        <f>IF($A27="","",COUNTIFS(Reviews!$G$2:$G$501,"&gt;="&amp;$A27,Reviews!$G$2:$G$501,"&lt;"&amp;EDATE($A27,1)))</f>
        <v/>
      </c>
      <c r="M27" s="11">
        <f>IF($A27="","",COUNTIFS('Listing check'!$I$2:$I$50,"&gt;="&amp;$A27,'Listing check'!$I$2:$I$50,"&lt;"&amp;EDATE($A27,1)))</f>
        <v/>
      </c>
    </row>
    <row r="28">
      <c r="A28" s="12">
        <f>IF($A27="","",EDATE($A27,1))</f>
        <v/>
      </c>
      <c r="B28" s="9" t="n"/>
      <c r="C28" s="9" t="n"/>
      <c r="D28" s="9" t="n"/>
      <c r="E28" s="9" t="n"/>
      <c r="F28" s="10" t="n"/>
      <c r="G28" s="9" t="n"/>
      <c r="H28" s="9" t="n"/>
      <c r="I28" s="9" t="n"/>
      <c r="J28" s="11">
        <f>IF($A28="","",COUNTIFS('Website check'!$H$2:$H$501,"&gt;="&amp;$A28,'Website check'!$H$2:$H$501,"&lt;"&amp;EDATE($A28,1)))</f>
        <v/>
      </c>
      <c r="K28" s="11">
        <f>IF($A28="","",COUNTIFS(Posts!$G$2:$G$501,"&gt;="&amp;$A28,Posts!$G$2:$G$501,"&lt;"&amp;EDATE($A28,1)))</f>
        <v/>
      </c>
      <c r="L28" s="11">
        <f>IF($A28="","",COUNTIFS(Reviews!$G$2:$G$501,"&gt;="&amp;$A28,Reviews!$G$2:$G$501,"&lt;"&amp;EDATE($A28,1)))</f>
        <v/>
      </c>
      <c r="M28" s="11">
        <f>IF($A28="","",COUNTIFS('Listing check'!$I$2:$I$50,"&gt;="&amp;$A28,'Listing check'!$I$2:$I$50,"&lt;"&amp;EDATE($A28,1)))</f>
        <v/>
      </c>
    </row>
    <row r="29">
      <c r="A29" s="12">
        <f>IF($A28="","",EDATE($A28,1))</f>
        <v/>
      </c>
      <c r="B29" s="9" t="n"/>
      <c r="C29" s="9" t="n"/>
      <c r="D29" s="9" t="n"/>
      <c r="E29" s="9" t="n"/>
      <c r="F29" s="10" t="n"/>
      <c r="G29" s="9" t="n"/>
      <c r="H29" s="9" t="n"/>
      <c r="I29" s="9" t="n"/>
      <c r="J29" s="11">
        <f>IF($A29="","",COUNTIFS('Website check'!$H$2:$H$501,"&gt;="&amp;$A29,'Website check'!$H$2:$H$501,"&lt;"&amp;EDATE($A29,1)))</f>
        <v/>
      </c>
      <c r="K29" s="11">
        <f>IF($A29="","",COUNTIFS(Posts!$G$2:$G$501,"&gt;="&amp;$A29,Posts!$G$2:$G$501,"&lt;"&amp;EDATE($A29,1)))</f>
        <v/>
      </c>
      <c r="L29" s="11">
        <f>IF($A29="","",COUNTIFS(Reviews!$G$2:$G$501,"&gt;="&amp;$A29,Reviews!$G$2:$G$501,"&lt;"&amp;EDATE($A29,1)))</f>
        <v/>
      </c>
      <c r="M29" s="11">
        <f>IF($A29="","",COUNTIFS('Listing check'!$I$2:$I$50,"&gt;="&amp;$A29,'Listing check'!$I$2:$I$50,"&lt;"&amp;EDATE($A29,1)))</f>
        <v/>
      </c>
    </row>
    <row r="30">
      <c r="A30" s="12">
        <f>IF($A29="","",EDATE($A29,1))</f>
        <v/>
      </c>
      <c r="B30" s="9" t="n"/>
      <c r="C30" s="9" t="n"/>
      <c r="D30" s="9" t="n"/>
      <c r="E30" s="9" t="n"/>
      <c r="F30" s="10" t="n"/>
      <c r="G30" s="9" t="n"/>
      <c r="H30" s="9" t="n"/>
      <c r="I30" s="9" t="n"/>
      <c r="J30" s="11">
        <f>IF($A30="","",COUNTIFS('Website check'!$H$2:$H$501,"&gt;="&amp;$A30,'Website check'!$H$2:$H$501,"&lt;"&amp;EDATE($A30,1)))</f>
        <v/>
      </c>
      <c r="K30" s="11">
        <f>IF($A30="","",COUNTIFS(Posts!$G$2:$G$501,"&gt;="&amp;$A30,Posts!$G$2:$G$501,"&lt;"&amp;EDATE($A30,1)))</f>
        <v/>
      </c>
      <c r="L30" s="11">
        <f>IF($A30="","",COUNTIFS(Reviews!$G$2:$G$501,"&gt;="&amp;$A30,Reviews!$G$2:$G$501,"&lt;"&amp;EDATE($A30,1)))</f>
        <v/>
      </c>
      <c r="M30" s="11">
        <f>IF($A30="","",COUNTIFS('Listing check'!$I$2:$I$50,"&gt;="&amp;$A30,'Listing check'!$I$2:$I$50,"&lt;"&amp;EDATE($A30,1)))</f>
        <v/>
      </c>
    </row>
    <row r="31">
      <c r="A31" s="12">
        <f>IF($A30="","",EDATE($A30,1))</f>
        <v/>
      </c>
      <c r="B31" s="9" t="n"/>
      <c r="C31" s="9" t="n"/>
      <c r="D31" s="9" t="n"/>
      <c r="E31" s="9" t="n"/>
      <c r="F31" s="10" t="n"/>
      <c r="G31" s="9" t="n"/>
      <c r="H31" s="9" t="n"/>
      <c r="I31" s="9" t="n"/>
      <c r="J31" s="11">
        <f>IF($A31="","",COUNTIFS('Website check'!$H$2:$H$501,"&gt;="&amp;$A31,'Website check'!$H$2:$H$501,"&lt;"&amp;EDATE($A31,1)))</f>
        <v/>
      </c>
      <c r="K31" s="11">
        <f>IF($A31="","",COUNTIFS(Posts!$G$2:$G$501,"&gt;="&amp;$A31,Posts!$G$2:$G$501,"&lt;"&amp;EDATE($A31,1)))</f>
        <v/>
      </c>
      <c r="L31" s="11">
        <f>IF($A31="","",COUNTIFS(Reviews!$G$2:$G$501,"&gt;="&amp;$A31,Reviews!$G$2:$G$501,"&lt;"&amp;EDATE($A31,1)))</f>
        <v/>
      </c>
      <c r="M31" s="11">
        <f>IF($A31="","",COUNTIFS('Listing check'!$I$2:$I$50,"&gt;="&amp;$A31,'Listing check'!$I$2:$I$50,"&lt;"&amp;EDATE($A31,1)))</f>
        <v/>
      </c>
    </row>
    <row r="32">
      <c r="A32" s="12">
        <f>IF($A31="","",EDATE($A31,1))</f>
        <v/>
      </c>
      <c r="B32" s="9" t="n"/>
      <c r="C32" s="9" t="n"/>
      <c r="D32" s="9" t="n"/>
      <c r="E32" s="9" t="n"/>
      <c r="F32" s="10" t="n"/>
      <c r="G32" s="9" t="n"/>
      <c r="H32" s="9" t="n"/>
      <c r="I32" s="9" t="n"/>
      <c r="J32" s="11">
        <f>IF($A32="","",COUNTIFS('Website check'!$H$2:$H$501,"&gt;="&amp;$A32,'Website check'!$H$2:$H$501,"&lt;"&amp;EDATE($A32,1)))</f>
        <v/>
      </c>
      <c r="K32" s="11">
        <f>IF($A32="","",COUNTIFS(Posts!$G$2:$G$501,"&gt;="&amp;$A32,Posts!$G$2:$G$501,"&lt;"&amp;EDATE($A32,1)))</f>
        <v/>
      </c>
      <c r="L32" s="11">
        <f>IF($A32="","",COUNTIFS(Reviews!$G$2:$G$501,"&gt;="&amp;$A32,Reviews!$G$2:$G$501,"&lt;"&amp;EDATE($A32,1)))</f>
        <v/>
      </c>
      <c r="M32" s="11">
        <f>IF($A32="","",COUNTIFS('Listing check'!$I$2:$I$50,"&gt;="&amp;$A32,'Listing check'!$I$2:$I$50,"&lt;"&amp;EDATE($A32,1)))</f>
        <v/>
      </c>
    </row>
    <row r="33">
      <c r="A33" s="12">
        <f>IF($A32="","",EDATE($A32,1))</f>
        <v/>
      </c>
      <c r="B33" s="9" t="n"/>
      <c r="C33" s="9" t="n"/>
      <c r="D33" s="9" t="n"/>
      <c r="E33" s="9" t="n"/>
      <c r="F33" s="10" t="n"/>
      <c r="G33" s="9" t="n"/>
      <c r="H33" s="9" t="n"/>
      <c r="I33" s="9" t="n"/>
      <c r="J33" s="11">
        <f>IF($A33="","",COUNTIFS('Website check'!$H$2:$H$501,"&gt;="&amp;$A33,'Website check'!$H$2:$H$501,"&lt;"&amp;EDATE($A33,1)))</f>
        <v/>
      </c>
      <c r="K33" s="11">
        <f>IF($A33="","",COUNTIFS(Posts!$G$2:$G$501,"&gt;="&amp;$A33,Posts!$G$2:$G$501,"&lt;"&amp;EDATE($A33,1)))</f>
        <v/>
      </c>
      <c r="L33" s="11">
        <f>IF($A33="","",COUNTIFS(Reviews!$G$2:$G$501,"&gt;="&amp;$A33,Reviews!$G$2:$G$501,"&lt;"&amp;EDATE($A33,1)))</f>
        <v/>
      </c>
      <c r="M33" s="11">
        <f>IF($A33="","",COUNTIFS('Listing check'!$I$2:$I$50,"&gt;="&amp;$A33,'Listing check'!$I$2:$I$50,"&lt;"&amp;EDATE($A33,1)))</f>
        <v/>
      </c>
    </row>
    <row r="34">
      <c r="A34" s="12">
        <f>IF($A33="","",EDATE($A33,1))</f>
        <v/>
      </c>
      <c r="B34" s="9" t="n"/>
      <c r="C34" s="9" t="n"/>
      <c r="D34" s="9" t="n"/>
      <c r="E34" s="9" t="n"/>
      <c r="F34" s="10" t="n"/>
      <c r="G34" s="9" t="n"/>
      <c r="H34" s="9" t="n"/>
      <c r="I34" s="9" t="n"/>
      <c r="J34" s="11">
        <f>IF($A34="","",COUNTIFS('Website check'!$H$2:$H$501,"&gt;="&amp;$A34,'Website check'!$H$2:$H$501,"&lt;"&amp;EDATE($A34,1)))</f>
        <v/>
      </c>
      <c r="K34" s="11">
        <f>IF($A34="","",COUNTIFS(Posts!$G$2:$G$501,"&gt;="&amp;$A34,Posts!$G$2:$G$501,"&lt;"&amp;EDATE($A34,1)))</f>
        <v/>
      </c>
      <c r="L34" s="11">
        <f>IF($A34="","",COUNTIFS(Reviews!$G$2:$G$501,"&gt;="&amp;$A34,Reviews!$G$2:$G$501,"&lt;"&amp;EDATE($A34,1)))</f>
        <v/>
      </c>
      <c r="M34" s="11">
        <f>IF($A34="","",COUNTIFS('Listing check'!$I$2:$I$50,"&gt;="&amp;$A34,'Listing check'!$I$2:$I$50,"&lt;"&amp;EDATE($A34,1)))</f>
        <v/>
      </c>
    </row>
    <row r="35">
      <c r="A35" s="12">
        <f>IF($A34="","",EDATE($A34,1))</f>
        <v/>
      </c>
      <c r="B35" s="9" t="n"/>
      <c r="C35" s="9" t="n"/>
      <c r="D35" s="9" t="n"/>
      <c r="E35" s="9" t="n"/>
      <c r="F35" s="10" t="n"/>
      <c r="G35" s="9" t="n"/>
      <c r="H35" s="9" t="n"/>
      <c r="I35" s="9" t="n"/>
      <c r="J35" s="11">
        <f>IF($A35="","",COUNTIFS('Website check'!$H$2:$H$501,"&gt;="&amp;$A35,'Website check'!$H$2:$H$501,"&lt;"&amp;EDATE($A35,1)))</f>
        <v/>
      </c>
      <c r="K35" s="11">
        <f>IF($A35="","",COUNTIFS(Posts!$G$2:$G$501,"&gt;="&amp;$A35,Posts!$G$2:$G$501,"&lt;"&amp;EDATE($A35,1)))</f>
        <v/>
      </c>
      <c r="L35" s="11">
        <f>IF($A35="","",COUNTIFS(Reviews!$G$2:$G$501,"&gt;="&amp;$A35,Reviews!$G$2:$G$501,"&lt;"&amp;EDATE($A35,1)))</f>
        <v/>
      </c>
      <c r="M35" s="11">
        <f>IF($A35="","",COUNTIFS('Listing check'!$I$2:$I$50,"&gt;="&amp;$A35,'Listing check'!$I$2:$I$50,"&lt;"&amp;EDATE($A35,1)))</f>
        <v/>
      </c>
    </row>
    <row r="36">
      <c r="A36" s="12">
        <f>IF($A35="","",EDATE($A35,1))</f>
        <v/>
      </c>
      <c r="B36" s="9" t="n"/>
      <c r="C36" s="9" t="n"/>
      <c r="D36" s="9" t="n"/>
      <c r="E36" s="9" t="n"/>
      <c r="F36" s="10" t="n"/>
      <c r="G36" s="9" t="n"/>
      <c r="H36" s="9" t="n"/>
      <c r="I36" s="9" t="n"/>
      <c r="J36" s="11">
        <f>IF($A36="","",COUNTIFS('Website check'!$H$2:$H$501,"&gt;="&amp;$A36,'Website check'!$H$2:$H$501,"&lt;"&amp;EDATE($A36,1)))</f>
        <v/>
      </c>
      <c r="K36" s="11">
        <f>IF($A36="","",COUNTIFS(Posts!$G$2:$G$501,"&gt;="&amp;$A36,Posts!$G$2:$G$501,"&lt;"&amp;EDATE($A36,1)))</f>
        <v/>
      </c>
      <c r="L36" s="11">
        <f>IF($A36="","",COUNTIFS(Reviews!$G$2:$G$501,"&gt;="&amp;$A36,Reviews!$G$2:$G$501,"&lt;"&amp;EDATE($A36,1)))</f>
        <v/>
      </c>
      <c r="M36" s="11">
        <f>IF($A36="","",COUNTIFS('Listing check'!$I$2:$I$50,"&gt;="&amp;$A36,'Listing check'!$I$2:$I$50,"&lt;"&amp;EDATE($A36,1)))</f>
        <v/>
      </c>
    </row>
    <row r="37">
      <c r="A37" s="12">
        <f>IF($A36="","",EDATE($A36,1))</f>
        <v/>
      </c>
      <c r="B37" s="9" t="n"/>
      <c r="C37" s="9" t="n"/>
      <c r="D37" s="9" t="n"/>
      <c r="E37" s="9" t="n"/>
      <c r="F37" s="10" t="n"/>
      <c r="G37" s="9" t="n"/>
      <c r="H37" s="9" t="n"/>
      <c r="I37" s="9" t="n"/>
      <c r="J37" s="11">
        <f>IF($A37="","",COUNTIFS('Website check'!$H$2:$H$501,"&gt;="&amp;$A37,'Website check'!$H$2:$H$501,"&lt;"&amp;EDATE($A37,1)))</f>
        <v/>
      </c>
      <c r="K37" s="11">
        <f>IF($A37="","",COUNTIFS(Posts!$G$2:$G$501,"&gt;="&amp;$A37,Posts!$G$2:$G$501,"&lt;"&amp;EDATE($A37,1)))</f>
        <v/>
      </c>
      <c r="L37" s="11">
        <f>IF($A37="","",COUNTIFS(Reviews!$G$2:$G$501,"&gt;="&amp;$A37,Reviews!$G$2:$G$501,"&lt;"&amp;EDATE($A37,1)))</f>
        <v/>
      </c>
      <c r="M37" s="11">
        <f>IF($A37="","",COUNTIFS('Listing check'!$I$2:$I$50,"&gt;="&amp;$A37,'Listing check'!$I$2:$I$50,"&lt;"&amp;EDATE($A37,1)))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Monthly report</t>
        </is>
      </c>
    </row>
    <row r="2">
      <c r="A2" t="inlineStr">
        <is>
          <t>Business</t>
        </is>
      </c>
      <c r="B2">
        <f>'Business details'!B2</f>
        <v/>
      </c>
    </row>
    <row r="3">
      <c r="A3" t="inlineStr">
        <is>
          <t>Month (type e.g. 2026-11-01)</t>
        </is>
      </c>
      <c r="B3" s="8" t="n"/>
    </row>
    <row r="5">
      <c r="A5" s="14" t="inlineStr">
        <is>
          <t>What</t>
        </is>
      </c>
      <c r="B5" s="14" t="inlineStr">
        <is>
          <t>This month</t>
        </is>
      </c>
      <c r="C5" s="14" t="inlineStr">
        <is>
          <t>Last month</t>
        </is>
      </c>
      <c r="D5" s="14" t="inlineStr">
        <is>
          <t>Change</t>
        </is>
      </c>
    </row>
    <row r="6">
      <c r="A6" t="inlineStr">
        <is>
          <t>Calls from your Google profile</t>
        </is>
      </c>
      <c r="B6" s="9">
        <f>IF($B$3="","",IFERROR(IF(INDEX(Numbers!$B$2:$M$37,MATCH($B$3,Numbers!$A$2:$A$37,0),1)="","",INDEX(Numbers!$B$2:$M$37,MATCH($B$3,Numbers!$A$2:$A$37,0),1)),""))</f>
        <v/>
      </c>
      <c r="C6" s="9">
        <f>IF($B$3="","",IFERROR(IF(INDEX(Numbers!$B$2:$M$37,MATCH(EDATE($B$3,-1),Numbers!$A$2:$A$37,0),1)="","",INDEX(Numbers!$B$2:$M$37,MATCH(EDATE($B$3,-1),Numbers!$A$2:$A$37,0),1)),""))</f>
        <v/>
      </c>
      <c r="D6" s="15">
        <f>IF(OR(B6="",C6=""),"",B6-C6)</f>
        <v/>
      </c>
    </row>
    <row r="7">
      <c r="A7" t="inlineStr">
        <is>
          <t>Website visits from your Google profile</t>
        </is>
      </c>
      <c r="B7" s="9">
        <f>IF($B$3="","",IFERROR(IF(INDEX(Numbers!$B$2:$M$37,MATCH($B$3,Numbers!$A$2:$A$37,0),2)="","",INDEX(Numbers!$B$2:$M$37,MATCH($B$3,Numbers!$A$2:$A$37,0),2)),""))</f>
        <v/>
      </c>
      <c r="C7" s="9">
        <f>IF($B$3="","",IFERROR(IF(INDEX(Numbers!$B$2:$M$37,MATCH(EDATE($B$3,-1),Numbers!$A$2:$A$37,0),2)="","",INDEX(Numbers!$B$2:$M$37,MATCH(EDATE($B$3,-1),Numbers!$A$2:$A$37,0),2)),""))</f>
        <v/>
      </c>
      <c r="D7" s="15">
        <f>IF(OR(B7="",C7=""),"",B7-C7)</f>
        <v/>
      </c>
    </row>
    <row r="8">
      <c r="A8" t="inlineStr">
        <is>
          <t>Direction requests</t>
        </is>
      </c>
      <c r="B8" s="9">
        <f>IF($B$3="","",IFERROR(IF(INDEX(Numbers!$B$2:$M$37,MATCH($B$3,Numbers!$A$2:$A$37,0),3)="","",INDEX(Numbers!$B$2:$M$37,MATCH($B$3,Numbers!$A$2:$A$37,0),3)),""))</f>
        <v/>
      </c>
      <c r="C8" s="9">
        <f>IF($B$3="","",IFERROR(IF(INDEX(Numbers!$B$2:$M$37,MATCH(EDATE($B$3,-1),Numbers!$A$2:$A$37,0),3)="","",INDEX(Numbers!$B$2:$M$37,MATCH(EDATE($B$3,-1),Numbers!$A$2:$A$37,0),3)),""))</f>
        <v/>
      </c>
      <c r="D8" s="15">
        <f>IF(OR(B8="",C8=""),"",B8-C8)</f>
        <v/>
      </c>
    </row>
    <row r="9">
      <c r="A9" t="inlineStr">
        <is>
          <t>New reviews</t>
        </is>
      </c>
      <c r="B9" s="9">
        <f>IF($B$3="","",IFERROR(IF(INDEX(Numbers!$B$2:$M$37,MATCH($B$3,Numbers!$A$2:$A$37,0),4)="","",INDEX(Numbers!$B$2:$M$37,MATCH($B$3,Numbers!$A$2:$A$37,0),4)),""))</f>
        <v/>
      </c>
      <c r="C9" s="9">
        <f>IF($B$3="","",IFERROR(IF(INDEX(Numbers!$B$2:$M$37,MATCH(EDATE($B$3,-1),Numbers!$A$2:$A$37,0),4)="","",INDEX(Numbers!$B$2:$M$37,MATCH(EDATE($B$3,-1),Numbers!$A$2:$A$37,0),4)),""))</f>
        <v/>
      </c>
      <c r="D9" s="15">
        <f>IF(OR(B9="",C9=""),"",B9-C9)</f>
        <v/>
      </c>
    </row>
    <row r="10">
      <c r="A10" t="inlineStr">
        <is>
          <t>Average rating</t>
        </is>
      </c>
      <c r="B10" s="10">
        <f>IF($B$3="","",IFERROR(IF(INDEX(Numbers!$B$2:$M$37,MATCH($B$3,Numbers!$A$2:$A$37,0),5)="","",INDEX(Numbers!$B$2:$M$37,MATCH($B$3,Numbers!$A$2:$A$37,0),5)),""))</f>
        <v/>
      </c>
      <c r="C10" s="10">
        <f>IF($B$3="","",IFERROR(IF(INDEX(Numbers!$B$2:$M$37,MATCH(EDATE($B$3,-1),Numbers!$A$2:$A$37,0),5)="","",INDEX(Numbers!$B$2:$M$37,MATCH(EDATE($B$3,-1),Numbers!$A$2:$A$37,0),5)),""))</f>
        <v/>
      </c>
      <c r="D10" s="16">
        <f>IF(OR(B10="",C10=""),"",B10-C10)</f>
        <v/>
      </c>
    </row>
    <row r="11">
      <c r="A11" t="inlineStr">
        <is>
          <t>Listings correct</t>
        </is>
      </c>
      <c r="B11" s="9">
        <f>IF($B$3="","",IFERROR(IF(INDEX(Numbers!$B$2:$M$37,MATCH($B$3,Numbers!$A$2:$A$37,0),6)="","",INDEX(Numbers!$B$2:$M$37,MATCH($B$3,Numbers!$A$2:$A$37,0),6)),""))</f>
        <v/>
      </c>
      <c r="C11" s="9">
        <f>IF($B$3="","",IFERROR(IF(INDEX(Numbers!$B$2:$M$37,MATCH(EDATE($B$3,-1),Numbers!$A$2:$A$37,0),6)="","",INDEX(Numbers!$B$2:$M$37,MATCH(EDATE($B$3,-1),Numbers!$A$2:$A$37,0),6)),""))</f>
        <v/>
      </c>
      <c r="D11" s="15">
        <f>IF(OR(B11="",C11=""),"",B11-C11)</f>
        <v/>
      </c>
    </row>
    <row r="12">
      <c r="A12" t="inlineStr">
        <is>
          <t>Listings that matter for your trade</t>
        </is>
      </c>
      <c r="B12" s="9">
        <f>IF($B$3="","",IFERROR(IF(INDEX(Numbers!$B$2:$M$37,MATCH($B$3,Numbers!$A$2:$A$37,0),7)="","",INDEX(Numbers!$B$2:$M$37,MATCH($B$3,Numbers!$A$2:$A$37,0),7)),""))</f>
        <v/>
      </c>
      <c r="C12" s="9">
        <f>IF($B$3="","",IFERROR(IF(INDEX(Numbers!$B$2:$M$37,MATCH(EDATE($B$3,-1),Numbers!$A$2:$A$37,0),7)="","",INDEX(Numbers!$B$2:$M$37,MATCH(EDATE($B$3,-1),Numbers!$A$2:$A$37,0),7)),""))</f>
        <v/>
      </c>
      <c r="D12" s="15">
        <f>IF(OR(B12="",C12=""),"",B12-C12)</f>
        <v/>
      </c>
    </row>
    <row r="13">
      <c r="A13" t="inlineStr">
        <is>
          <t>Website speed on a phone (out of 100)</t>
        </is>
      </c>
      <c r="B13" s="9">
        <f>IF($B$3="","",IFERROR(IF(INDEX(Numbers!$B$2:$M$37,MATCH($B$3,Numbers!$A$2:$A$37,0),8)="","",INDEX(Numbers!$B$2:$M$37,MATCH($B$3,Numbers!$A$2:$A$37,0),8)),""))</f>
        <v/>
      </c>
      <c r="C13" s="9">
        <f>IF($B$3="","",IFERROR(IF(INDEX(Numbers!$B$2:$M$37,MATCH(EDATE($B$3,-1),Numbers!$A$2:$A$37,0),8)="","",INDEX(Numbers!$B$2:$M$37,MATCH(EDATE($B$3,-1),Numbers!$A$2:$A$37,0),8)),""))</f>
        <v/>
      </c>
      <c r="D13" s="15">
        <f>IF(OR(B13="",C13=""),"",B13-C13)</f>
        <v/>
      </c>
    </row>
    <row r="14">
      <c r="A14" t="inlineStr">
        <is>
          <t>Website problems fixed</t>
        </is>
      </c>
      <c r="B14" s="9">
        <f>IF($B$3="","",IFERROR(IF(INDEX(Numbers!$B$2:$M$37,MATCH($B$3,Numbers!$A$2:$A$37,0),9)="","",INDEX(Numbers!$B$2:$M$37,MATCH($B$3,Numbers!$A$2:$A$37,0),9)),""))</f>
        <v/>
      </c>
      <c r="C14" s="9">
        <f>IF($B$3="","",IFERROR(IF(INDEX(Numbers!$B$2:$M$37,MATCH(EDATE($B$3,-1),Numbers!$A$2:$A$37,0),9)="","",INDEX(Numbers!$B$2:$M$37,MATCH(EDATE($B$3,-1),Numbers!$A$2:$A$37,0),9)),""))</f>
        <v/>
      </c>
      <c r="D14" s="15">
        <f>IF(OR(B14="",C14=""),"",B14-C14)</f>
        <v/>
      </c>
    </row>
    <row r="15">
      <c r="A15" t="inlineStr">
        <is>
          <t>Google posts published</t>
        </is>
      </c>
      <c r="B15" s="9">
        <f>IF($B$3="","",IFERROR(IF(INDEX(Numbers!$B$2:$M$37,MATCH($B$3,Numbers!$A$2:$A$37,0),10)="","",INDEX(Numbers!$B$2:$M$37,MATCH($B$3,Numbers!$A$2:$A$37,0),10)),""))</f>
        <v/>
      </c>
      <c r="C15" s="9">
        <f>IF($B$3="","",IFERROR(IF(INDEX(Numbers!$B$2:$M$37,MATCH(EDATE($B$3,-1),Numbers!$A$2:$A$37,0),10)="","",INDEX(Numbers!$B$2:$M$37,MATCH(EDATE($B$3,-1),Numbers!$A$2:$A$37,0),10)),""))</f>
        <v/>
      </c>
      <c r="D15" s="15">
        <f>IF(OR(B15="",C15=""),"",B15-C15)</f>
        <v/>
      </c>
    </row>
    <row r="16">
      <c r="A16" t="inlineStr">
        <is>
          <t>Reviews replied to</t>
        </is>
      </c>
      <c r="B16" s="9">
        <f>IF($B$3="","",IFERROR(IF(INDEX(Numbers!$B$2:$M$37,MATCH($B$3,Numbers!$A$2:$A$37,0),11)="","",INDEX(Numbers!$B$2:$M$37,MATCH($B$3,Numbers!$A$2:$A$37,0),11)),""))</f>
        <v/>
      </c>
      <c r="C16" s="9">
        <f>IF($B$3="","",IFERROR(IF(INDEX(Numbers!$B$2:$M$37,MATCH(EDATE($B$3,-1),Numbers!$A$2:$A$37,0),11)="","",INDEX(Numbers!$B$2:$M$37,MATCH(EDATE($B$3,-1),Numbers!$A$2:$A$37,0),11)),""))</f>
        <v/>
      </c>
      <c r="D16" s="15">
        <f>IF(OR(B16="",C16=""),"",B16-C16)</f>
        <v/>
      </c>
    </row>
    <row r="17">
      <c r="A17" t="inlineStr">
        <is>
          <t>Listings fixed</t>
        </is>
      </c>
      <c r="B17" s="9">
        <f>IF($B$3="","",IFERROR(IF(INDEX(Numbers!$B$2:$M$37,MATCH($B$3,Numbers!$A$2:$A$37,0),12)="","",INDEX(Numbers!$B$2:$M$37,MATCH($B$3,Numbers!$A$2:$A$37,0),12)),""))</f>
        <v/>
      </c>
      <c r="C17" s="9">
        <f>IF($B$3="","",IFERROR(IF(INDEX(Numbers!$B$2:$M$37,MATCH(EDATE($B$3,-1),Numbers!$A$2:$A$37,0),12)="","",INDEX(Numbers!$B$2:$M$37,MATCH(EDATE($B$3,-1),Numbers!$A$2:$A$37,0),12)),""))</f>
        <v/>
      </c>
      <c r="D17" s="15">
        <f>IF(OR(B17="",C17=""),"",B17-C17)</f>
        <v/>
      </c>
    </row>
    <row r="19" ht="75" customHeight="1">
      <c r="A19" s="17" t="inlineStr">
        <is>
          <t>What I did this month</t>
        </is>
      </c>
      <c r="B19" s="5" t="n"/>
    </row>
    <row r="20" ht="75" customHeight="1">
      <c r="A20" s="17" t="inlineStr">
        <is>
          <t>Top 3 for next month</t>
        </is>
      </c>
      <c r="B20" s="5" t="n"/>
    </row>
    <row r="21" ht="75" customHeight="1">
      <c r="A21" s="17" t="inlineStr">
        <is>
          <t>What I need from you</t>
        </is>
      </c>
      <c r="B21" s="5" t="n"/>
    </row>
    <row r="23">
      <c r="A23" s="18" t="inlineStr">
        <is>
          <t>Right now, for this month's Numbers row (not part of the report):</t>
        </is>
      </c>
    </row>
    <row r="24">
      <c r="A24" t="inlineStr">
        <is>
          <t>Core listings correct</t>
        </is>
      </c>
      <c r="B24">
        <f>COUNTIFS('Listing check'!$B$2:$B$50,"Yes",'Listing check'!$D$2:$D$50,"Correct")</f>
        <v/>
      </c>
    </row>
    <row r="25">
      <c r="A25" t="inlineStr">
        <is>
          <t>Core listings in total</t>
        </is>
      </c>
      <c r="B25">
        <f>COUNTIF('Listing check'!$B$2:$B$50,"Yes")</f>
        <v/>
      </c>
    </row>
    <row r="26">
      <c r="A26" t="inlineStr">
        <is>
          <t>Website problems still open</t>
        </is>
      </c>
      <c r="B26">
        <f>COUNTIF('Website check'!$G$2:$G$501,"Open")</f>
        <v/>
      </c>
    </row>
  </sheetData>
  <mergeCells count="3">
    <mergeCell ref="B19:D19"/>
    <mergeCell ref="B21:D21"/>
    <mergeCell ref="B20:D20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50" customWidth="1" min="3" max="3"/>
    <col width="40" customWidth="1" min="4" max="4"/>
    <col width="40" customWidth="1" min="5" max="5"/>
    <col width="30" customWidth="1" min="6" max="6"/>
  </cols>
  <sheetData>
    <row r="1" ht="36" customHeight="1">
      <c r="A1" s="3" t="inlineStr">
        <is>
          <t>Date</t>
        </is>
      </c>
      <c r="B1" s="3" t="inlineStr">
        <is>
          <t>Zoom or Meet link</t>
        </is>
      </c>
      <c r="C1" s="3" t="inlineStr">
        <is>
          <t>Top 3 fixes agreed</t>
        </is>
      </c>
      <c r="D1" s="3" t="inlineStr">
        <is>
          <t>Post themes for next month</t>
        </is>
      </c>
      <c r="E1" s="3" t="inlineStr">
        <is>
          <t>Jobs they want more of</t>
        </is>
      </c>
      <c r="F1" s="3" t="inlineStr">
        <is>
          <t>Notes</t>
        </is>
      </c>
    </row>
    <row r="2">
      <c r="A2" s="7" t="n"/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2026-10-30T10:09:41Z</dcterms:created>
  <dcterms:modified xsi:type="dcterms:W3CDTF">2026-10-30T10:09:41Z</dcterms:modified>
</cp:coreProperties>
</file>